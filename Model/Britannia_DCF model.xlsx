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uj8\Downloads\"/>
    </mc:Choice>
  </mc:AlternateContent>
  <xr:revisionPtr revIDLastSave="0" documentId="13_ncr:1_{B77083C2-F435-427D-BBC8-3C7920A24987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Template" sheetId="3" r:id="rId1"/>
    <sheet name="Historical" sheetId="1" r:id="rId2"/>
    <sheet name="Model" sheetId="4" r:id="rId3"/>
    <sheet name="Scenario Analysis" sheetId="5" r:id="rId4"/>
    <sheet name="Comp Data" sheetId="6" r:id="rId5"/>
    <sheet name="Comps" sheetId="7" r:id="rId6"/>
    <sheet name="WACC" sheetId="8" r:id="rId7"/>
    <sheet name="Beta" sheetId="9" r:id="rId8"/>
    <sheet name="Market Data" sheetId="10" r:id="rId9"/>
  </sheets>
  <definedNames>
    <definedName name="solver_eng" localSheetId="7" hidden="1">1</definedName>
    <definedName name="solver_neg" localSheetId="7" hidden="1">1</definedName>
    <definedName name="solver_num" localSheetId="7" hidden="1">0</definedName>
    <definedName name="solver_opt" localSheetId="7" hidden="1">Beta!$I$7</definedName>
    <definedName name="solver_typ" localSheetId="7" hidden="1">1</definedName>
    <definedName name="solver_val" localSheetId="7" hidden="1">0</definedName>
    <definedName name="solver_ver" localSheetId="7" hidden="1">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" i="7" l="1"/>
  <c r="O21" i="7" a="1"/>
  <c r="O21" i="7" s="1"/>
  <c r="T21" i="7"/>
  <c r="U21" i="7"/>
  <c r="S21" i="7"/>
  <c r="N73" i="4"/>
  <c r="H44" i="8"/>
  <c r="I12" i="9"/>
  <c r="I11" i="9"/>
  <c r="I158" i="4"/>
  <c r="D157" i="4" l="1"/>
  <c r="M9" i="8"/>
  <c r="H81" i="4"/>
  <c r="N147" i="4"/>
  <c r="I147" i="4"/>
  <c r="I149" i="4" s="1"/>
  <c r="J165" i="4"/>
  <c r="J171" i="4" s="1"/>
  <c r="M165" i="4" s="1"/>
  <c r="E24" i="7" a="1"/>
  <c r="E24" i="7" s="1"/>
  <c r="H24" i="7" s="1"/>
  <c r="J24" i="7" s="1"/>
  <c r="H25" i="7"/>
  <c r="J25" i="7" s="1"/>
  <c r="J26" i="7"/>
  <c r="H42" i="8"/>
  <c r="H43" i="8" s="1"/>
  <c r="L21" i="8"/>
  <c r="D21" i="8"/>
  <c r="M10" i="8"/>
  <c r="M11" i="8"/>
  <c r="M12" i="8"/>
  <c r="M13" i="8"/>
  <c r="M14" i="8"/>
  <c r="N14" i="8" s="1"/>
  <c r="M15" i="8"/>
  <c r="N15" i="8" s="1"/>
  <c r="M16" i="8"/>
  <c r="N16" i="8" s="1"/>
  <c r="M8" i="8"/>
  <c r="L18" i="8"/>
  <c r="K15" i="8"/>
  <c r="K16" i="8"/>
  <c r="J14" i="8"/>
  <c r="J15" i="8"/>
  <c r="I9" i="8"/>
  <c r="I21" i="8" s="1"/>
  <c r="H32" i="8" s="1"/>
  <c r="I10" i="8"/>
  <c r="K10" i="8" s="1"/>
  <c r="I11" i="8"/>
  <c r="K11" i="8" s="1"/>
  <c r="I12" i="8"/>
  <c r="J12" i="8" s="1"/>
  <c r="I13" i="8"/>
  <c r="K13" i="8" s="1"/>
  <c r="I14" i="8"/>
  <c r="K14" i="8" s="1"/>
  <c r="I15" i="8"/>
  <c r="I16" i="8"/>
  <c r="J16" i="8" s="1"/>
  <c r="I8" i="8"/>
  <c r="K8" i="8" s="1"/>
  <c r="H9" i="8"/>
  <c r="J9" i="8" s="1"/>
  <c r="H10" i="8"/>
  <c r="H11" i="8"/>
  <c r="H12" i="8"/>
  <c r="H13" i="8"/>
  <c r="H14" i="8"/>
  <c r="H15" i="8"/>
  <c r="H16" i="8"/>
  <c r="H8" i="8"/>
  <c r="H18" i="8" s="1"/>
  <c r="D16" i="8"/>
  <c r="D9" i="8"/>
  <c r="D10" i="8"/>
  <c r="D11" i="8"/>
  <c r="D12" i="8"/>
  <c r="D13" i="8"/>
  <c r="D14" i="8"/>
  <c r="D15" i="8"/>
  <c r="D8" i="8"/>
  <c r="I146" i="4"/>
  <c r="J146" i="4" s="1"/>
  <c r="K146" i="4" s="1"/>
  <c r="L146" i="4" s="1"/>
  <c r="M146" i="4" s="1"/>
  <c r="E140" i="4"/>
  <c r="E137" i="4"/>
  <c r="N105" i="4"/>
  <c r="M105" i="4"/>
  <c r="J148" i="4"/>
  <c r="J147" i="4" s="1"/>
  <c r="H147" i="4"/>
  <c r="H105" i="4"/>
  <c r="I105" i="4"/>
  <c r="J105" i="4"/>
  <c r="K105" i="4"/>
  <c r="L105" i="4"/>
  <c r="M111" i="4"/>
  <c r="I19" i="4"/>
  <c r="M81" i="4"/>
  <c r="N69" i="4"/>
  <c r="O69" i="4" s="1"/>
  <c r="P69" i="4" s="1"/>
  <c r="N59" i="4"/>
  <c r="O59" i="4" s="1"/>
  <c r="P59" i="4" s="1"/>
  <c r="Q59" i="4" s="1"/>
  <c r="R59" i="4" s="1"/>
  <c r="S59" i="4" s="1"/>
  <c r="H54" i="4"/>
  <c r="J18" i="4"/>
  <c r="M18" i="4"/>
  <c r="I24" i="4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S16" i="7"/>
  <c r="T16" i="7"/>
  <c r="U16" i="7"/>
  <c r="Q8" i="7" a="1"/>
  <c r="Q8" i="7" s="1"/>
  <c r="O9" i="7"/>
  <c r="O10" i="7"/>
  <c r="O11" i="7"/>
  <c r="O12" i="7"/>
  <c r="O13" i="7"/>
  <c r="O14" i="7"/>
  <c r="O15" i="7"/>
  <c r="O16" i="7"/>
  <c r="O8" i="7"/>
  <c r="H21" i="7" a="1"/>
  <c r="H21" i="7" s="1"/>
  <c r="D21" i="7"/>
  <c r="P9" i="7"/>
  <c r="P10" i="7"/>
  <c r="P11" i="7"/>
  <c r="P12" i="7"/>
  <c r="P13" i="7"/>
  <c r="P14" i="7"/>
  <c r="P15" i="7"/>
  <c r="P16" i="7"/>
  <c r="P8" i="7"/>
  <c r="M9" i="7"/>
  <c r="M10" i="7"/>
  <c r="M11" i="7"/>
  <c r="M12" i="7"/>
  <c r="T12" i="7" s="1"/>
  <c r="M13" i="7"/>
  <c r="S13" i="7" s="1"/>
  <c r="M14" i="7"/>
  <c r="M15" i="7"/>
  <c r="M16" i="7"/>
  <c r="M8" i="7"/>
  <c r="L9" i="7"/>
  <c r="L10" i="7"/>
  <c r="L11" i="7"/>
  <c r="L12" i="7"/>
  <c r="L13" i="7"/>
  <c r="L14" i="7"/>
  <c r="L15" i="7"/>
  <c r="L16" i="7"/>
  <c r="L8" i="7"/>
  <c r="K9" i="7"/>
  <c r="K10" i="7"/>
  <c r="K11" i="7"/>
  <c r="K12" i="7"/>
  <c r="K13" i="7"/>
  <c r="K14" i="7"/>
  <c r="K15" i="7"/>
  <c r="K16" i="7"/>
  <c r="K8" i="7"/>
  <c r="J9" i="7"/>
  <c r="J10" i="7"/>
  <c r="J11" i="7"/>
  <c r="J12" i="7"/>
  <c r="J13" i="7"/>
  <c r="J14" i="7"/>
  <c r="U14" i="7" s="1"/>
  <c r="J15" i="7"/>
  <c r="U15" i="7" s="1"/>
  <c r="J16" i="7"/>
  <c r="J8" i="7"/>
  <c r="I9" i="7"/>
  <c r="I10" i="7"/>
  <c r="I11" i="7"/>
  <c r="I12" i="7"/>
  <c r="I13" i="7"/>
  <c r="I14" i="7"/>
  <c r="I15" i="7"/>
  <c r="I16" i="7"/>
  <c r="I8" i="7"/>
  <c r="H9" i="7"/>
  <c r="H10" i="7"/>
  <c r="H11" i="7"/>
  <c r="H12" i="7"/>
  <c r="H13" i="7"/>
  <c r="H14" i="7"/>
  <c r="H15" i="7"/>
  <c r="H16" i="7"/>
  <c r="H8" i="7"/>
  <c r="D8" i="7" a="1"/>
  <c r="D8" i="7" s="1"/>
  <c r="U9" i="7"/>
  <c r="U10" i="7"/>
  <c r="S11" i="7"/>
  <c r="U12" i="7"/>
  <c r="U13" i="7"/>
  <c r="T15" i="7"/>
  <c r="D24" i="7" a="1"/>
  <c r="D24" i="7" s="1"/>
  <c r="B7" i="6"/>
  <c r="B8" i="6" s="1"/>
  <c r="B9" i="6" s="1"/>
  <c r="B10" i="6" s="1"/>
  <c r="B11" i="6" s="1"/>
  <c r="H10" i="10"/>
  <c r="H9" i="10"/>
  <c r="I9" i="4"/>
  <c r="I10" i="4"/>
  <c r="L10" i="4"/>
  <c r="I13" i="4"/>
  <c r="L13" i="4"/>
  <c r="L11" i="4"/>
  <c r="K12" i="4"/>
  <c r="B4" i="6"/>
  <c r="B5" i="6" s="1"/>
  <c r="B6" i="6" s="1"/>
  <c r="K124" i="4"/>
  <c r="L124" i="4"/>
  <c r="J126" i="4"/>
  <c r="K126" i="4"/>
  <c r="I127" i="4"/>
  <c r="J127" i="4"/>
  <c r="K127" i="4"/>
  <c r="J120" i="4"/>
  <c r="H121" i="4"/>
  <c r="I118" i="4" s="1"/>
  <c r="I111" i="4"/>
  <c r="J111" i="4"/>
  <c r="K111" i="4"/>
  <c r="L111" i="4"/>
  <c r="I112" i="4"/>
  <c r="J112" i="4"/>
  <c r="K112" i="4"/>
  <c r="L112" i="4"/>
  <c r="L115" i="4" s="1"/>
  <c r="M112" i="4"/>
  <c r="I113" i="4"/>
  <c r="J113" i="4"/>
  <c r="K113" i="4"/>
  <c r="L113" i="4"/>
  <c r="M113" i="4"/>
  <c r="I114" i="4"/>
  <c r="J114" i="4"/>
  <c r="K114" i="4"/>
  <c r="L114" i="4"/>
  <c r="M114" i="4"/>
  <c r="H114" i="4"/>
  <c r="H113" i="4"/>
  <c r="H112" i="4"/>
  <c r="H111" i="4"/>
  <c r="H115" i="4" s="1"/>
  <c r="M17" i="4"/>
  <c r="I68" i="4"/>
  <c r="I126" i="4" s="1"/>
  <c r="J124" i="4" s="1"/>
  <c r="J125" i="4" s="1"/>
  <c r="J68" i="4"/>
  <c r="K68" i="4"/>
  <c r="L68" i="4"/>
  <c r="L126" i="4" s="1"/>
  <c r="M124" i="4" s="1"/>
  <c r="M68" i="4"/>
  <c r="N68" i="4" s="1"/>
  <c r="I69" i="4"/>
  <c r="J69" i="4"/>
  <c r="K69" i="4"/>
  <c r="L69" i="4"/>
  <c r="M69" i="4"/>
  <c r="H69" i="4"/>
  <c r="H68" i="4"/>
  <c r="H126" i="4" s="1"/>
  <c r="I124" i="4" s="1"/>
  <c r="I50" i="4"/>
  <c r="I16" i="4" s="1"/>
  <c r="J50" i="4"/>
  <c r="J16" i="4" s="1"/>
  <c r="K50" i="4"/>
  <c r="K16" i="4" s="1"/>
  <c r="L50" i="4"/>
  <c r="E166" i="4" s="1"/>
  <c r="J168" i="4" s="1"/>
  <c r="M50" i="4"/>
  <c r="M16" i="4" s="1"/>
  <c r="I51" i="4"/>
  <c r="J51" i="4"/>
  <c r="K51" i="4"/>
  <c r="L51" i="4"/>
  <c r="M51" i="4"/>
  <c r="N51" i="4" s="1"/>
  <c r="O51" i="4" s="1"/>
  <c r="P51" i="4" s="1"/>
  <c r="Q51" i="4" s="1"/>
  <c r="R51" i="4" s="1"/>
  <c r="S51" i="4" s="1"/>
  <c r="H51" i="4"/>
  <c r="H50" i="4"/>
  <c r="H66" i="4"/>
  <c r="H65" i="4"/>
  <c r="H18" i="4" s="1"/>
  <c r="I56" i="4"/>
  <c r="I121" i="4" s="1"/>
  <c r="J56" i="4"/>
  <c r="J121" i="4" s="1"/>
  <c r="K118" i="4" s="1"/>
  <c r="K56" i="4"/>
  <c r="K121" i="4" s="1"/>
  <c r="L118" i="4" s="1"/>
  <c r="L56" i="4"/>
  <c r="L121" i="4" s="1"/>
  <c r="M118" i="4" s="1"/>
  <c r="M56" i="4"/>
  <c r="M121" i="4" s="1"/>
  <c r="N118" i="4" s="1"/>
  <c r="H56" i="4"/>
  <c r="I59" i="4"/>
  <c r="J59" i="4"/>
  <c r="K59" i="4"/>
  <c r="L59" i="4"/>
  <c r="M59" i="4"/>
  <c r="H59" i="4"/>
  <c r="K119" i="1"/>
  <c r="M66" i="4"/>
  <c r="N66" i="4" s="1"/>
  <c r="L66" i="4"/>
  <c r="K66" i="4"/>
  <c r="J66" i="4"/>
  <c r="I66" i="4"/>
  <c r="M65" i="4"/>
  <c r="L65" i="4"/>
  <c r="L18" i="4" s="1"/>
  <c r="K65" i="4"/>
  <c r="K18" i="4" s="1"/>
  <c r="J65" i="4"/>
  <c r="I65" i="4"/>
  <c r="I18" i="4" s="1"/>
  <c r="I26" i="4"/>
  <c r="J26" i="4"/>
  <c r="J7" i="4" s="1"/>
  <c r="K26" i="4"/>
  <c r="K7" i="4" s="1"/>
  <c r="L26" i="4"/>
  <c r="L19" i="4" s="1"/>
  <c r="M26" i="4"/>
  <c r="M28" i="4" s="1"/>
  <c r="M32" i="4" s="1"/>
  <c r="M34" i="4" s="1"/>
  <c r="I27" i="4"/>
  <c r="I8" i="4" s="1"/>
  <c r="J27" i="4"/>
  <c r="J8" i="4" s="1"/>
  <c r="K27" i="4"/>
  <c r="L27" i="4"/>
  <c r="M27" i="4"/>
  <c r="I30" i="4"/>
  <c r="J30" i="4"/>
  <c r="J9" i="4" s="1"/>
  <c r="K30" i="4"/>
  <c r="K9" i="4" s="1"/>
  <c r="L30" i="4"/>
  <c r="L9" i="4" s="1"/>
  <c r="M30" i="4"/>
  <c r="M9" i="4" s="1"/>
  <c r="I31" i="4"/>
  <c r="J31" i="4"/>
  <c r="K31" i="4"/>
  <c r="L31" i="4"/>
  <c r="M31" i="4"/>
  <c r="I33" i="4"/>
  <c r="I11" i="4" s="1"/>
  <c r="J33" i="4"/>
  <c r="J11" i="4" s="1"/>
  <c r="K33" i="4"/>
  <c r="K11" i="4" s="1"/>
  <c r="L33" i="4"/>
  <c r="M33" i="4"/>
  <c r="I35" i="4"/>
  <c r="I12" i="4" s="1"/>
  <c r="J35" i="4"/>
  <c r="J12" i="4" s="1"/>
  <c r="K35" i="4"/>
  <c r="L35" i="4"/>
  <c r="L12" i="4" s="1"/>
  <c r="M35" i="4"/>
  <c r="M127" i="4" s="1"/>
  <c r="I36" i="4"/>
  <c r="J36" i="4"/>
  <c r="K36" i="4"/>
  <c r="L36" i="4"/>
  <c r="M36" i="4"/>
  <c r="I38" i="4"/>
  <c r="J38" i="4"/>
  <c r="K38" i="4"/>
  <c r="L38" i="4"/>
  <c r="M38" i="4"/>
  <c r="I39" i="4"/>
  <c r="J39" i="4"/>
  <c r="J13" i="4" s="1"/>
  <c r="K39" i="4"/>
  <c r="K13" i="4" s="1"/>
  <c r="L39" i="4"/>
  <c r="M39" i="4"/>
  <c r="M13" i="4" s="1"/>
  <c r="I41" i="4"/>
  <c r="J41" i="4"/>
  <c r="K41" i="4"/>
  <c r="L41" i="4"/>
  <c r="M41" i="4"/>
  <c r="H35" i="4"/>
  <c r="H127" i="4" s="1"/>
  <c r="H31" i="4"/>
  <c r="M4" i="5"/>
  <c r="I4" i="5"/>
  <c r="J4" i="5" s="1"/>
  <c r="K4" i="5" s="1"/>
  <c r="L4" i="5" s="1"/>
  <c r="K99" i="4"/>
  <c r="K133" i="1"/>
  <c r="I99" i="4"/>
  <c r="J99" i="4"/>
  <c r="L99" i="4"/>
  <c r="M99" i="4"/>
  <c r="I100" i="4"/>
  <c r="J100" i="4"/>
  <c r="K100" i="4"/>
  <c r="L100" i="4"/>
  <c r="M100" i="4"/>
  <c r="I101" i="4"/>
  <c r="J101" i="4"/>
  <c r="K101" i="4"/>
  <c r="L101" i="4"/>
  <c r="M101" i="4"/>
  <c r="I102" i="4"/>
  <c r="J102" i="4"/>
  <c r="K102" i="4"/>
  <c r="L102" i="4"/>
  <c r="M102" i="4"/>
  <c r="H100" i="4"/>
  <c r="H101" i="4"/>
  <c r="H99" i="4"/>
  <c r="I93" i="4"/>
  <c r="J93" i="4"/>
  <c r="K93" i="4"/>
  <c r="L93" i="4"/>
  <c r="M93" i="4"/>
  <c r="I94" i="4"/>
  <c r="J94" i="4"/>
  <c r="K94" i="4"/>
  <c r="L94" i="4"/>
  <c r="M94" i="4"/>
  <c r="H94" i="4"/>
  <c r="H93" i="4"/>
  <c r="K101" i="1"/>
  <c r="I81" i="4"/>
  <c r="J81" i="4"/>
  <c r="K81" i="4"/>
  <c r="L81" i="4"/>
  <c r="I82" i="4"/>
  <c r="I120" i="4" s="1"/>
  <c r="J82" i="4"/>
  <c r="K82" i="4"/>
  <c r="K120" i="4" s="1"/>
  <c r="L82" i="4"/>
  <c r="L120" i="4" s="1"/>
  <c r="M82" i="4"/>
  <c r="M120" i="4" s="1"/>
  <c r="I83" i="4"/>
  <c r="J83" i="4"/>
  <c r="K83" i="4"/>
  <c r="L83" i="4"/>
  <c r="M83" i="4"/>
  <c r="I84" i="4"/>
  <c r="J84" i="4"/>
  <c r="K84" i="4"/>
  <c r="L84" i="4"/>
  <c r="M84" i="4"/>
  <c r="I85" i="4"/>
  <c r="J85" i="4"/>
  <c r="K85" i="4"/>
  <c r="L85" i="4"/>
  <c r="M85" i="4"/>
  <c r="I87" i="4"/>
  <c r="J87" i="4"/>
  <c r="K87" i="4"/>
  <c r="L87" i="4"/>
  <c r="M87" i="4"/>
  <c r="I91" i="4"/>
  <c r="J91" i="4"/>
  <c r="K91" i="4"/>
  <c r="L91" i="4"/>
  <c r="M91" i="4"/>
  <c r="I92" i="4"/>
  <c r="J92" i="4"/>
  <c r="K92" i="4"/>
  <c r="L92" i="4"/>
  <c r="M92" i="4"/>
  <c r="I95" i="4"/>
  <c r="J95" i="4"/>
  <c r="K95" i="4"/>
  <c r="L95" i="4"/>
  <c r="M95" i="4"/>
  <c r="H102" i="4"/>
  <c r="H92" i="4"/>
  <c r="H91" i="4"/>
  <c r="H95" i="4"/>
  <c r="H87" i="4"/>
  <c r="H85" i="4"/>
  <c r="H83" i="4"/>
  <c r="H84" i="4"/>
  <c r="H82" i="4"/>
  <c r="H120" i="4" s="1"/>
  <c r="I72" i="4"/>
  <c r="J72" i="4"/>
  <c r="K72" i="4"/>
  <c r="L72" i="4"/>
  <c r="M72" i="4"/>
  <c r="N72" i="4" s="1"/>
  <c r="O72" i="4" s="1"/>
  <c r="P72" i="4" s="1"/>
  <c r="Q72" i="4" s="1"/>
  <c r="R72" i="4" s="1"/>
  <c r="S72" i="4" s="1"/>
  <c r="I73" i="4"/>
  <c r="J73" i="4"/>
  <c r="K73" i="4"/>
  <c r="L73" i="4"/>
  <c r="M73" i="4"/>
  <c r="I75" i="4"/>
  <c r="J75" i="4"/>
  <c r="K75" i="4"/>
  <c r="L75" i="4"/>
  <c r="M75" i="4"/>
  <c r="N75" i="4" s="1"/>
  <c r="H75" i="4"/>
  <c r="H73" i="4"/>
  <c r="H72" i="4"/>
  <c r="I48" i="4"/>
  <c r="J48" i="4"/>
  <c r="K48" i="4"/>
  <c r="L48" i="4"/>
  <c r="M48" i="4"/>
  <c r="I49" i="4"/>
  <c r="J49" i="4"/>
  <c r="K49" i="4"/>
  <c r="L49" i="4"/>
  <c r="M49" i="4"/>
  <c r="N49" i="4" s="1"/>
  <c r="O49" i="4" s="1"/>
  <c r="P49" i="4" s="1"/>
  <c r="Q49" i="4" s="1"/>
  <c r="R49" i="4" s="1"/>
  <c r="S49" i="4" s="1"/>
  <c r="I52" i="4"/>
  <c r="I17" i="4" s="1"/>
  <c r="J52" i="4"/>
  <c r="J17" i="4" s="1"/>
  <c r="K52" i="4"/>
  <c r="K17" i="4" s="1"/>
  <c r="L52" i="4"/>
  <c r="L17" i="4" s="1"/>
  <c r="M52" i="4"/>
  <c r="I53" i="4"/>
  <c r="J53" i="4"/>
  <c r="K53" i="4"/>
  <c r="L53" i="4"/>
  <c r="M53" i="4"/>
  <c r="N53" i="4" s="1"/>
  <c r="O53" i="4" s="1"/>
  <c r="P53" i="4" s="1"/>
  <c r="Q53" i="4" s="1"/>
  <c r="R53" i="4" s="1"/>
  <c r="S53" i="4" s="1"/>
  <c r="I54" i="4"/>
  <c r="J54" i="4"/>
  <c r="K54" i="4"/>
  <c r="L54" i="4"/>
  <c r="M54" i="4"/>
  <c r="N54" i="4" s="1"/>
  <c r="O54" i="4" s="1"/>
  <c r="P54" i="4" s="1"/>
  <c r="Q54" i="4" s="1"/>
  <c r="R54" i="4" s="1"/>
  <c r="S54" i="4" s="1"/>
  <c r="I57" i="4"/>
  <c r="J57" i="4"/>
  <c r="K57" i="4"/>
  <c r="L57" i="4"/>
  <c r="M57" i="4"/>
  <c r="N57" i="4" s="1"/>
  <c r="O57" i="4" s="1"/>
  <c r="P57" i="4" s="1"/>
  <c r="Q57" i="4" s="1"/>
  <c r="R57" i="4" s="1"/>
  <c r="S57" i="4" s="1"/>
  <c r="I58" i="4"/>
  <c r="J58" i="4"/>
  <c r="K58" i="4"/>
  <c r="L58" i="4"/>
  <c r="M58" i="4"/>
  <c r="N58" i="4" s="1"/>
  <c r="O58" i="4" s="1"/>
  <c r="P58" i="4" s="1"/>
  <c r="Q58" i="4" s="1"/>
  <c r="R58" i="4" s="1"/>
  <c r="S58" i="4" s="1"/>
  <c r="I60" i="4"/>
  <c r="J60" i="4"/>
  <c r="K60" i="4"/>
  <c r="L60" i="4"/>
  <c r="M60" i="4"/>
  <c r="N60" i="4" s="1"/>
  <c r="O60" i="4" s="1"/>
  <c r="P60" i="4" s="1"/>
  <c r="Q60" i="4" s="1"/>
  <c r="R60" i="4" s="1"/>
  <c r="S60" i="4" s="1"/>
  <c r="H60" i="4"/>
  <c r="H58" i="4"/>
  <c r="H57" i="4"/>
  <c r="H53" i="4"/>
  <c r="H52" i="4"/>
  <c r="H17" i="4" s="1"/>
  <c r="H49" i="4"/>
  <c r="H48" i="4"/>
  <c r="H41" i="4"/>
  <c r="H36" i="4"/>
  <c r="H38" i="4"/>
  <c r="D36" i="4" a="1"/>
  <c r="D36" i="4" s="1"/>
  <c r="H39" i="4"/>
  <c r="H13" i="4" s="1"/>
  <c r="N13" i="4" s="1"/>
  <c r="O13" i="4" s="1"/>
  <c r="P13" i="4" s="1"/>
  <c r="Q13" i="4" s="1"/>
  <c r="R13" i="4" s="1"/>
  <c r="S13" i="4" s="1"/>
  <c r="H26" i="4"/>
  <c r="H16" i="4" s="1"/>
  <c r="H33" i="4"/>
  <c r="H30" i="4"/>
  <c r="H27" i="4"/>
  <c r="I2" i="4"/>
  <c r="J2" i="4" s="1"/>
  <c r="K2" i="4" s="1"/>
  <c r="L2" i="4" s="1"/>
  <c r="M2" i="4" s="1"/>
  <c r="N2" i="4" s="1"/>
  <c r="O2" i="4" s="1"/>
  <c r="P2" i="4" s="1"/>
  <c r="Q2" i="4" s="1"/>
  <c r="R2" i="4" s="1"/>
  <c r="S2" i="4" s="1"/>
  <c r="I3" i="1"/>
  <c r="J3" i="1" s="1"/>
  <c r="K3" i="1" s="1"/>
  <c r="L3" i="1" s="1"/>
  <c r="M3" i="1" s="1"/>
  <c r="I91" i="1"/>
  <c r="J91" i="1" s="1"/>
  <c r="K91" i="1" s="1"/>
  <c r="L91" i="1" s="1"/>
  <c r="M91" i="1" s="1"/>
  <c r="I29" i="1"/>
  <c r="J29" i="1" s="1"/>
  <c r="K29" i="1" s="1"/>
  <c r="L29" i="1" s="1"/>
  <c r="M29" i="1" s="1"/>
  <c r="N17" i="4" l="1"/>
  <c r="O17" i="4" s="1"/>
  <c r="P17" i="4" s="1"/>
  <c r="Q17" i="4" s="1"/>
  <c r="R17" i="4" s="1"/>
  <c r="S17" i="4" s="1"/>
  <c r="O75" i="4"/>
  <c r="P75" i="4" s="1"/>
  <c r="Q75" i="4" s="1"/>
  <c r="R75" i="4" s="1"/>
  <c r="S75" i="4" s="1"/>
  <c r="E168" i="4"/>
  <c r="J167" i="4" s="1"/>
  <c r="J169" i="4" s="1"/>
  <c r="L21" i="4"/>
  <c r="N114" i="4"/>
  <c r="O66" i="4"/>
  <c r="O114" i="4" s="1"/>
  <c r="K119" i="4"/>
  <c r="I125" i="4"/>
  <c r="M125" i="4"/>
  <c r="M119" i="4"/>
  <c r="L119" i="4"/>
  <c r="N126" i="4"/>
  <c r="O68" i="4"/>
  <c r="N12" i="4"/>
  <c r="I119" i="4"/>
  <c r="J118" i="4"/>
  <c r="J119" i="4" s="1"/>
  <c r="N11" i="4"/>
  <c r="L7" i="4"/>
  <c r="K8" i="4"/>
  <c r="N18" i="4"/>
  <c r="O18" i="4" s="1"/>
  <c r="P18" i="4" s="1"/>
  <c r="Q18" i="4" s="1"/>
  <c r="R18" i="4" s="1"/>
  <c r="S18" i="4" s="1"/>
  <c r="H19" i="4"/>
  <c r="H8" i="4"/>
  <c r="L127" i="4"/>
  <c r="E167" i="4" s="1"/>
  <c r="J166" i="4" s="1"/>
  <c r="M12" i="4"/>
  <c r="K19" i="4"/>
  <c r="L125" i="4"/>
  <c r="N9" i="4"/>
  <c r="O9" i="4" s="1"/>
  <c r="P9" i="4" s="1"/>
  <c r="Q9" i="4" s="1"/>
  <c r="R9" i="4" s="1"/>
  <c r="S9" i="4" s="1"/>
  <c r="L16" i="4"/>
  <c r="N16" i="4" s="1"/>
  <c r="O16" i="4" s="1"/>
  <c r="P16" i="4" s="1"/>
  <c r="Q16" i="4" s="1"/>
  <c r="R16" i="4" s="1"/>
  <c r="S16" i="4" s="1"/>
  <c r="M10" i="4"/>
  <c r="J19" i="4"/>
  <c r="M126" i="4"/>
  <c r="N124" i="4" s="1"/>
  <c r="J115" i="4"/>
  <c r="K125" i="4"/>
  <c r="K10" i="4"/>
  <c r="M8" i="4"/>
  <c r="M115" i="4"/>
  <c r="I115" i="4"/>
  <c r="M11" i="4"/>
  <c r="M7" i="4"/>
  <c r="J10" i="4"/>
  <c r="L8" i="4"/>
  <c r="K115" i="4"/>
  <c r="N36" i="4"/>
  <c r="M19" i="4"/>
  <c r="H9" i="4"/>
  <c r="N10" i="8"/>
  <c r="N12" i="8"/>
  <c r="J21" i="8"/>
  <c r="H33" i="8" s="1"/>
  <c r="N9" i="8"/>
  <c r="N11" i="8"/>
  <c r="J13" i="8"/>
  <c r="N13" i="8" s="1"/>
  <c r="H21" i="8"/>
  <c r="H31" i="8" s="1"/>
  <c r="J11" i="8"/>
  <c r="K12" i="8"/>
  <c r="J10" i="8"/>
  <c r="J8" i="8"/>
  <c r="N8" i="8" s="1"/>
  <c r="K9" i="8"/>
  <c r="K21" i="8" s="1"/>
  <c r="K18" i="8"/>
  <c r="L19" i="8"/>
  <c r="H19" i="8"/>
  <c r="I19" i="8"/>
  <c r="I18" i="8"/>
  <c r="J149" i="4"/>
  <c r="K148" i="4"/>
  <c r="K147" i="4" s="1"/>
  <c r="P66" i="4"/>
  <c r="Q69" i="4"/>
  <c r="S15" i="7"/>
  <c r="T13" i="7"/>
  <c r="S12" i="7"/>
  <c r="S10" i="7"/>
  <c r="T10" i="7"/>
  <c r="U11" i="7"/>
  <c r="S9" i="7"/>
  <c r="T11" i="7"/>
  <c r="M37" i="4"/>
  <c r="M40" i="4" s="1"/>
  <c r="M42" i="4" s="1"/>
  <c r="K103" i="4"/>
  <c r="H10" i="4"/>
  <c r="I28" i="4"/>
  <c r="H74" i="4"/>
  <c r="J28" i="4"/>
  <c r="J32" i="4" s="1"/>
  <c r="J34" i="4" s="1"/>
  <c r="J37" i="4" s="1"/>
  <c r="J40" i="4" s="1"/>
  <c r="I32" i="4"/>
  <c r="I34" i="4" s="1"/>
  <c r="I37" i="4" s="1"/>
  <c r="I40" i="4" s="1"/>
  <c r="I42" i="4" s="1"/>
  <c r="I15" i="4" s="1"/>
  <c r="I7" i="4"/>
  <c r="L28" i="4"/>
  <c r="L32" i="4" s="1"/>
  <c r="L34" i="4" s="1"/>
  <c r="L37" i="4" s="1"/>
  <c r="L40" i="4" s="1"/>
  <c r="K28" i="4"/>
  <c r="K32" i="4" s="1"/>
  <c r="K34" i="4" s="1"/>
  <c r="K37" i="4" s="1"/>
  <c r="K40" i="4" s="1"/>
  <c r="K42" i="4" s="1"/>
  <c r="J103" i="4"/>
  <c r="L103" i="4"/>
  <c r="I103" i="4"/>
  <c r="M103" i="4"/>
  <c r="M74" i="4"/>
  <c r="M86" i="4"/>
  <c r="M88" i="4" s="1"/>
  <c r="K96" i="4"/>
  <c r="L86" i="4"/>
  <c r="L88" i="4" s="1"/>
  <c r="I86" i="4"/>
  <c r="I88" i="4" s="1"/>
  <c r="H70" i="4"/>
  <c r="H76" i="4" s="1"/>
  <c r="L70" i="4"/>
  <c r="L74" i="4"/>
  <c r="H61" i="4"/>
  <c r="H86" i="4"/>
  <c r="H96" i="4"/>
  <c r="H103" i="4"/>
  <c r="J96" i="4"/>
  <c r="I96" i="4"/>
  <c r="I61" i="4"/>
  <c r="K70" i="4"/>
  <c r="K74" i="4"/>
  <c r="J74" i="4"/>
  <c r="M96" i="4"/>
  <c r="L96" i="4"/>
  <c r="I70" i="4"/>
  <c r="I74" i="4"/>
  <c r="K86" i="4"/>
  <c r="K88" i="4" s="1"/>
  <c r="J86" i="4"/>
  <c r="J88" i="4" s="1"/>
  <c r="J70" i="4"/>
  <c r="M61" i="4"/>
  <c r="M70" i="4"/>
  <c r="L61" i="4"/>
  <c r="J61" i="4"/>
  <c r="K61" i="4"/>
  <c r="H28" i="4"/>
  <c r="H32" i="4" s="1"/>
  <c r="H34" i="4" s="1"/>
  <c r="H37" i="4" s="1"/>
  <c r="H40" i="4" s="1"/>
  <c r="H42" i="4" s="1"/>
  <c r="H15" i="4" s="1"/>
  <c r="M15" i="4" l="1"/>
  <c r="M20" i="4"/>
  <c r="Q36" i="4"/>
  <c r="R36" i="4" s="1"/>
  <c r="S36" i="4" s="1"/>
  <c r="M14" i="4"/>
  <c r="N10" i="4"/>
  <c r="O10" i="4" s="1"/>
  <c r="P10" i="4" s="1"/>
  <c r="Q10" i="4" s="1"/>
  <c r="R10" i="4" s="1"/>
  <c r="S10" i="4" s="1"/>
  <c r="N19" i="4"/>
  <c r="O19" i="4" s="1"/>
  <c r="P19" i="4" s="1"/>
  <c r="Q19" i="4" s="1"/>
  <c r="R19" i="4" s="1"/>
  <c r="S19" i="4" s="1"/>
  <c r="I21" i="4"/>
  <c r="E5" i="5"/>
  <c r="E6" i="5"/>
  <c r="H36" i="8"/>
  <c r="O12" i="4"/>
  <c r="N35" i="4"/>
  <c r="N83" i="4" s="1"/>
  <c r="I20" i="4"/>
  <c r="N120" i="4"/>
  <c r="N82" i="4"/>
  <c r="N33" i="4"/>
  <c r="O11" i="4"/>
  <c r="P11" i="4" s="1"/>
  <c r="Q11" i="4" s="1"/>
  <c r="R11" i="4" s="1"/>
  <c r="S11" i="4" s="1"/>
  <c r="H14" i="4"/>
  <c r="O36" i="4"/>
  <c r="P36" i="4" s="1"/>
  <c r="H20" i="4"/>
  <c r="P68" i="4"/>
  <c r="O126" i="4"/>
  <c r="K21" i="4"/>
  <c r="O124" i="4"/>
  <c r="N127" i="4"/>
  <c r="N102" i="4" s="1"/>
  <c r="J21" i="4"/>
  <c r="K15" i="4"/>
  <c r="K20" i="4"/>
  <c r="Q66" i="4"/>
  <c r="P114" i="4"/>
  <c r="N8" i="4"/>
  <c r="O8" i="4" s="1"/>
  <c r="P8" i="4" s="1"/>
  <c r="Q8" i="4" s="1"/>
  <c r="R8" i="4" s="1"/>
  <c r="S8" i="4" s="1"/>
  <c r="M21" i="4"/>
  <c r="H28" i="8"/>
  <c r="K19" i="8"/>
  <c r="H27" i="8" s="1"/>
  <c r="H88" i="4"/>
  <c r="H21" i="4"/>
  <c r="J18" i="8"/>
  <c r="J19" i="8"/>
  <c r="L148" i="4"/>
  <c r="L147" i="4" s="1"/>
  <c r="R69" i="4"/>
  <c r="I24" i="7"/>
  <c r="I25" i="7" s="1"/>
  <c r="I26" i="7" s="1"/>
  <c r="K24" i="7"/>
  <c r="K25" i="7" s="1"/>
  <c r="K26" i="7" s="1"/>
  <c r="S14" i="7"/>
  <c r="T14" i="7"/>
  <c r="U8" i="7"/>
  <c r="J42" i="4"/>
  <c r="J14" i="4"/>
  <c r="K104" i="4"/>
  <c r="K106" i="4" s="1"/>
  <c r="K14" i="4"/>
  <c r="I14" i="4"/>
  <c r="L42" i="4"/>
  <c r="L14" i="4"/>
  <c r="I76" i="4"/>
  <c r="I77" i="4" s="1"/>
  <c r="L76" i="4"/>
  <c r="L77" i="4" s="1"/>
  <c r="K76" i="4"/>
  <c r="K77" i="4" s="1"/>
  <c r="M76" i="4"/>
  <c r="M77" i="4" s="1"/>
  <c r="H104" i="4"/>
  <c r="H106" i="4" s="1"/>
  <c r="L104" i="4"/>
  <c r="L106" i="4" s="1"/>
  <c r="M104" i="4"/>
  <c r="M106" i="4" s="1"/>
  <c r="J104" i="4"/>
  <c r="J106" i="4" s="1"/>
  <c r="H77" i="4"/>
  <c r="I104" i="4"/>
  <c r="I106" i="4" s="1"/>
  <c r="J76" i="4"/>
  <c r="J77" i="4" s="1"/>
  <c r="P124" i="4" l="1"/>
  <c r="O127" i="4"/>
  <c r="O102" i="4" s="1"/>
  <c r="R66" i="4"/>
  <c r="Q114" i="4"/>
  <c r="Q68" i="4"/>
  <c r="P126" i="4"/>
  <c r="L15" i="4"/>
  <c r="N15" i="4" s="1"/>
  <c r="O15" i="4" s="1"/>
  <c r="P15" i="4" s="1"/>
  <c r="Q15" i="4" s="1"/>
  <c r="R15" i="4" s="1"/>
  <c r="S15" i="4" s="1"/>
  <c r="L20" i="4"/>
  <c r="N21" i="4"/>
  <c r="O21" i="4" s="1"/>
  <c r="P21" i="4" s="1"/>
  <c r="Q21" i="4" s="1"/>
  <c r="R21" i="4" s="1"/>
  <c r="S21" i="4" s="1"/>
  <c r="N14" i="4"/>
  <c r="O35" i="4"/>
  <c r="O83" i="4" s="1"/>
  <c r="P12" i="4"/>
  <c r="J15" i="4"/>
  <c r="J20" i="4"/>
  <c r="N20" i="4" s="1"/>
  <c r="O20" i="4" s="1"/>
  <c r="P20" i="4" s="1"/>
  <c r="Q20" i="4" s="1"/>
  <c r="R20" i="4" s="1"/>
  <c r="S20" i="4" s="1"/>
  <c r="K149" i="4"/>
  <c r="L149" i="4"/>
  <c r="M148" i="4"/>
  <c r="M147" i="4" s="1"/>
  <c r="S69" i="4"/>
  <c r="U18" i="7"/>
  <c r="U19" i="7"/>
  <c r="T8" i="7"/>
  <c r="S8" i="7"/>
  <c r="Q126" i="4" l="1"/>
  <c r="R68" i="4"/>
  <c r="O14" i="4"/>
  <c r="P14" i="4" s="1"/>
  <c r="Q14" i="4" s="1"/>
  <c r="R14" i="4" s="1"/>
  <c r="S14" i="4" s="1"/>
  <c r="H37" i="8"/>
  <c r="E136" i="4"/>
  <c r="S66" i="4"/>
  <c r="S114" i="4" s="1"/>
  <c r="R114" i="4"/>
  <c r="Q124" i="4"/>
  <c r="P127" i="4"/>
  <c r="P102" i="4" s="1"/>
  <c r="Q12" i="4"/>
  <c r="P35" i="4"/>
  <c r="P83" i="4" s="1"/>
  <c r="M149" i="4"/>
  <c r="S18" i="7"/>
  <c r="S19" i="7"/>
  <c r="T18" i="7"/>
  <c r="T19" i="7"/>
  <c r="H38" i="8" l="1"/>
  <c r="H45" i="8"/>
  <c r="H47" i="8" s="1"/>
  <c r="E139" i="4" s="1"/>
  <c r="R12" i="4"/>
  <c r="Q35" i="4"/>
  <c r="Q83" i="4" s="1"/>
  <c r="S68" i="4"/>
  <c r="S126" i="4" s="1"/>
  <c r="R126" i="4"/>
  <c r="R124" i="4"/>
  <c r="Q127" i="4"/>
  <c r="Q102" i="4" s="1"/>
  <c r="L24" i="7"/>
  <c r="S124" i="4" l="1"/>
  <c r="R127" i="4"/>
  <c r="R102" i="4" s="1"/>
  <c r="S12" i="4"/>
  <c r="S35" i="4" s="1"/>
  <c r="S83" i="4" s="1"/>
  <c r="R35" i="4"/>
  <c r="R83" i="4" s="1"/>
  <c r="L25" i="7"/>
  <c r="L26" i="7"/>
  <c r="S127" i="4" l="1"/>
  <c r="S102" i="4" s="1"/>
  <c r="H26" i="7"/>
  <c r="H5" i="5" l="1" a="1"/>
  <c r="I7" i="5" s="1"/>
  <c r="J7" i="5" s="1"/>
  <c r="K7" i="5" s="1"/>
  <c r="L7" i="5" s="1"/>
  <c r="M7" i="5" s="1"/>
  <c r="H5" i="5" l="1"/>
  <c r="I5" i="5" s="1"/>
  <c r="J5" i="5" s="1"/>
  <c r="K5" i="5" s="1"/>
  <c r="L5" i="5" s="1"/>
  <c r="M5" i="5" s="1"/>
  <c r="I6" i="5"/>
  <c r="J6" i="5" s="1"/>
  <c r="K6" i="5" s="1"/>
  <c r="L6" i="5" s="1"/>
  <c r="M6" i="5" s="1"/>
  <c r="N7" i="4" a="1"/>
  <c r="N7" i="4" s="1"/>
  <c r="N26" i="4" s="1"/>
  <c r="N39" i="4" l="1"/>
  <c r="N31" i="4"/>
  <c r="N50" i="4"/>
  <c r="N30" i="4"/>
  <c r="O26" i="4"/>
  <c r="N121" i="4"/>
  <c r="N27" i="4"/>
  <c r="N28" i="4" s="1"/>
  <c r="N32" i="4" l="1"/>
  <c r="N34" i="4" s="1"/>
  <c r="N37" i="4" s="1"/>
  <c r="N40" i="4" s="1"/>
  <c r="N41" i="4" s="1"/>
  <c r="N87" i="4" s="1"/>
  <c r="N81" i="4"/>
  <c r="N56" i="4"/>
  <c r="N119" i="4"/>
  <c r="N91" i="4" s="1"/>
  <c r="N96" i="4" s="1"/>
  <c r="O118" i="4"/>
  <c r="O120" i="4" s="1"/>
  <c r="I155" i="4" s="1"/>
  <c r="N111" i="4"/>
  <c r="N52" i="4"/>
  <c r="N65" i="4"/>
  <c r="O27" i="4"/>
  <c r="O121" i="4"/>
  <c r="O50" i="4"/>
  <c r="O111" i="4" s="1"/>
  <c r="O28" i="4"/>
  <c r="P26" i="4"/>
  <c r="O39" i="4"/>
  <c r="O30" i="4"/>
  <c r="O31" i="4"/>
  <c r="N84" i="4"/>
  <c r="N95" i="4"/>
  <c r="O32" i="4" l="1"/>
  <c r="O84" i="4"/>
  <c r="O95" i="4"/>
  <c r="Q26" i="4"/>
  <c r="P121" i="4"/>
  <c r="P50" i="4"/>
  <c r="P39" i="4"/>
  <c r="P27" i="4"/>
  <c r="P30" i="4"/>
  <c r="P31" i="4"/>
  <c r="O82" i="4"/>
  <c r="O33" i="4"/>
  <c r="O65" i="4"/>
  <c r="O52" i="4"/>
  <c r="N113" i="4"/>
  <c r="N70" i="4"/>
  <c r="P118" i="4"/>
  <c r="P120" i="4" s="1"/>
  <c r="O56" i="4"/>
  <c r="O119" i="4"/>
  <c r="N42" i="4"/>
  <c r="N112" i="4"/>
  <c r="O91" i="4" l="1"/>
  <c r="I156" i="4"/>
  <c r="N115" i="4"/>
  <c r="N85" i="4" s="1"/>
  <c r="O34" i="4"/>
  <c r="P65" i="4"/>
  <c r="P52" i="4"/>
  <c r="P112" i="4" s="1"/>
  <c r="O112" i="4"/>
  <c r="O115" i="4" s="1"/>
  <c r="O85" i="4" s="1"/>
  <c r="I157" i="4" s="1"/>
  <c r="P84" i="4"/>
  <c r="P95" i="4"/>
  <c r="N101" i="4"/>
  <c r="N103" i="4" s="1"/>
  <c r="O113" i="4"/>
  <c r="O70" i="4"/>
  <c r="I152" i="4"/>
  <c r="O37" i="4"/>
  <c r="O40" i="4" s="1"/>
  <c r="P28" i="4"/>
  <c r="P32" i="4" s="1"/>
  <c r="P82" i="4"/>
  <c r="P33" i="4"/>
  <c r="Q118" i="4"/>
  <c r="Q120" i="4" s="1"/>
  <c r="P56" i="4"/>
  <c r="P119" i="4"/>
  <c r="J155" i="4"/>
  <c r="P111" i="4"/>
  <c r="Q50" i="4"/>
  <c r="Q121" i="4"/>
  <c r="Q31" i="4"/>
  <c r="R26" i="4"/>
  <c r="Q27" i="4"/>
  <c r="Q39" i="4"/>
  <c r="Q30" i="4"/>
  <c r="O96" i="4"/>
  <c r="P91" i="4" l="1"/>
  <c r="P96" i="4" s="1"/>
  <c r="J156" i="4"/>
  <c r="N86" i="4"/>
  <c r="Q65" i="4"/>
  <c r="Q52" i="4"/>
  <c r="Q112" i="4" s="1"/>
  <c r="R50" i="4"/>
  <c r="R111" i="4" s="1"/>
  <c r="R121" i="4"/>
  <c r="R31" i="4"/>
  <c r="R39" i="4"/>
  <c r="S26" i="4"/>
  <c r="R30" i="4"/>
  <c r="R27" i="4"/>
  <c r="R28" i="4" s="1"/>
  <c r="P113" i="4"/>
  <c r="P115" i="4" s="1"/>
  <c r="P85" i="4" s="1"/>
  <c r="J157" i="4" s="1"/>
  <c r="P70" i="4"/>
  <c r="Q119" i="4"/>
  <c r="K155" i="4"/>
  <c r="O81" i="4"/>
  <c r="O86" i="4" s="1"/>
  <c r="O41" i="4"/>
  <c r="Q95" i="4"/>
  <c r="Q84" i="4"/>
  <c r="Q82" i="4"/>
  <c r="Q33" i="4"/>
  <c r="R118" i="4"/>
  <c r="R120" i="4" s="1"/>
  <c r="L155" i="4" s="1"/>
  <c r="Q56" i="4"/>
  <c r="P34" i="4"/>
  <c r="N88" i="4"/>
  <c r="N104" i="4" s="1"/>
  <c r="N106" i="4" s="1"/>
  <c r="N48" i="4" s="1"/>
  <c r="Q28" i="4"/>
  <c r="Q32" i="4" s="1"/>
  <c r="Q111" i="4"/>
  <c r="Q91" i="4" l="1"/>
  <c r="K156" i="4"/>
  <c r="R32" i="4"/>
  <c r="Q96" i="4"/>
  <c r="O105" i="4"/>
  <c r="N61" i="4"/>
  <c r="N74" i="4"/>
  <c r="N76" i="4" s="1"/>
  <c r="O42" i="4"/>
  <c r="O101" i="4" s="1"/>
  <c r="O103" i="4" s="1"/>
  <c r="I153" i="4"/>
  <c r="I154" i="4" s="1"/>
  <c r="I160" i="4" s="1"/>
  <c r="O87" i="4"/>
  <c r="O88" i="4" s="1"/>
  <c r="R84" i="4"/>
  <c r="R95" i="4"/>
  <c r="R52" i="4"/>
  <c r="R65" i="4"/>
  <c r="J152" i="4"/>
  <c r="P37" i="4"/>
  <c r="P40" i="4" s="1"/>
  <c r="R33" i="4"/>
  <c r="R82" i="4"/>
  <c r="S50" i="4"/>
  <c r="S111" i="4" s="1"/>
  <c r="S121" i="4"/>
  <c r="S27" i="4"/>
  <c r="S31" i="4"/>
  <c r="S30" i="4"/>
  <c r="S39" i="4"/>
  <c r="Q113" i="4"/>
  <c r="Q115" i="4" s="1"/>
  <c r="Q85" i="4" s="1"/>
  <c r="K157" i="4" s="1"/>
  <c r="Q70" i="4"/>
  <c r="Q34" i="4"/>
  <c r="R119" i="4"/>
  <c r="S118" i="4"/>
  <c r="S120" i="4" s="1"/>
  <c r="M155" i="4" s="1"/>
  <c r="R56" i="4"/>
  <c r="R91" i="4" l="1"/>
  <c r="L156" i="4"/>
  <c r="O104" i="4"/>
  <c r="O106" i="4" s="1"/>
  <c r="O48" i="4" s="1"/>
  <c r="R34" i="4"/>
  <c r="O73" i="4"/>
  <c r="O74" i="4" s="1"/>
  <c r="O76" i="4" s="1"/>
  <c r="R96" i="4"/>
  <c r="P81" i="4"/>
  <c r="P86" i="4" s="1"/>
  <c r="P41" i="4"/>
  <c r="R113" i="4"/>
  <c r="R70" i="4"/>
  <c r="S52" i="4"/>
  <c r="S112" i="4" s="1"/>
  <c r="S65" i="4"/>
  <c r="N77" i="4"/>
  <c r="K152" i="4"/>
  <c r="Q37" i="4"/>
  <c r="Q40" i="4" s="1"/>
  <c r="S119" i="4"/>
  <c r="S56" i="4"/>
  <c r="S28" i="4"/>
  <c r="S32" i="4" s="1"/>
  <c r="S82" i="4"/>
  <c r="S33" i="4"/>
  <c r="S84" i="4"/>
  <c r="S95" i="4"/>
  <c r="L152" i="4"/>
  <c r="R37" i="4"/>
  <c r="R40" i="4" s="1"/>
  <c r="R112" i="4"/>
  <c r="R115" i="4" s="1"/>
  <c r="R85" i="4" s="1"/>
  <c r="L157" i="4" s="1"/>
  <c r="S91" i="4" l="1"/>
  <c r="S96" i="4" s="1"/>
  <c r="M156" i="4"/>
  <c r="P42" i="4"/>
  <c r="P87" i="4"/>
  <c r="P88" i="4" s="1"/>
  <c r="J153" i="4"/>
  <c r="J154" i="4" s="1"/>
  <c r="J158" i="4" s="1"/>
  <c r="J160" i="4" s="1"/>
  <c r="R81" i="4"/>
  <c r="R86" i="4" s="1"/>
  <c r="R41" i="4"/>
  <c r="Q81" i="4"/>
  <c r="Q86" i="4" s="1"/>
  <c r="Q41" i="4"/>
  <c r="S34" i="4"/>
  <c r="P105" i="4"/>
  <c r="O61" i="4"/>
  <c r="O77" i="4" s="1"/>
  <c r="S113" i="4"/>
  <c r="S115" i="4" s="1"/>
  <c r="S85" i="4" s="1"/>
  <c r="M157" i="4" s="1"/>
  <c r="S70" i="4"/>
  <c r="R42" i="4" l="1"/>
  <c r="R101" i="4" s="1"/>
  <c r="R103" i="4" s="1"/>
  <c r="L153" i="4"/>
  <c r="L154" i="4" s="1"/>
  <c r="L158" i="4" s="1"/>
  <c r="L160" i="4" s="1"/>
  <c r="R87" i="4"/>
  <c r="R88" i="4" s="1"/>
  <c r="R104" i="4" s="1"/>
  <c r="Q42" i="4"/>
  <c r="Q101" i="4" s="1"/>
  <c r="Q103" i="4" s="1"/>
  <c r="K153" i="4"/>
  <c r="K154" i="4" s="1"/>
  <c r="K158" i="4" s="1"/>
  <c r="K160" i="4" s="1"/>
  <c r="Q87" i="4"/>
  <c r="Q88" i="4" s="1"/>
  <c r="Q104" i="4" s="1"/>
  <c r="M152" i="4"/>
  <c r="R147" i="4" s="1"/>
  <c r="S37" i="4"/>
  <c r="S40" i="4" s="1"/>
  <c r="P101" i="4"/>
  <c r="P103" i="4" s="1"/>
  <c r="P104" i="4" s="1"/>
  <c r="P106" i="4" s="1"/>
  <c r="P48" i="4" s="1"/>
  <c r="P73" i="4" l="1"/>
  <c r="P74" i="4" s="1"/>
  <c r="P76" i="4" s="1"/>
  <c r="Q105" i="4"/>
  <c r="Q106" i="4" s="1"/>
  <c r="Q48" i="4" s="1"/>
  <c r="P61" i="4"/>
  <c r="S81" i="4"/>
  <c r="S86" i="4" s="1"/>
  <c r="S41" i="4"/>
  <c r="Q73" i="4" l="1"/>
  <c r="S42" i="4"/>
  <c r="S101" i="4" s="1"/>
  <c r="S103" i="4" s="1"/>
  <c r="S87" i="4"/>
  <c r="M153" i="4"/>
  <c r="M154" i="4" s="1"/>
  <c r="M158" i="4" s="1"/>
  <c r="R148" i="4" s="1"/>
  <c r="S88" i="4"/>
  <c r="Q74" i="4"/>
  <c r="Q76" i="4" s="1"/>
  <c r="Q77" i="4" s="1"/>
  <c r="R73" i="4"/>
  <c r="P77" i="4"/>
  <c r="Q61" i="4"/>
  <c r="R105" i="4"/>
  <c r="R106" i="4" s="1"/>
  <c r="R48" i="4" s="1"/>
  <c r="R74" i="4" l="1"/>
  <c r="R76" i="4" s="1"/>
  <c r="S73" i="4"/>
  <c r="S74" i="4" s="1"/>
  <c r="S76" i="4" s="1"/>
  <c r="S105" i="4"/>
  <c r="R61" i="4"/>
  <c r="S104" i="4"/>
  <c r="R149" i="4"/>
  <c r="N158" i="4" s="1"/>
  <c r="M160" i="4"/>
  <c r="N160" i="4" l="1"/>
  <c r="S106" i="4"/>
  <c r="S48" i="4" s="1"/>
  <c r="S61" i="4" s="1"/>
  <c r="S77" i="4" s="1"/>
  <c r="R77" i="4"/>
  <c r="E165" i="4" l="1"/>
  <c r="E169" i="4" s="1"/>
  <c r="E171" i="4" s="1"/>
  <c r="I188" i="4" s="1"/>
  <c r="M166" i="4" l="1"/>
  <c r="M167" i="4" s="1"/>
  <c r="I17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tc={D4485A7E-4DAF-437A-AB70-9085CFC84B5A}</author>
  </authors>
  <commentList>
    <comment ref="H41" authorId="0" shapeId="0" xr:uid="{D4485A7E-4DAF-437A-AB70-9085CFC84B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 Years G-Sec Yield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<sst xmlns="http://schemas.openxmlformats.org/spreadsheetml/2006/main" count="588" uniqueCount="426">
  <si>
    <t>2020</t>
  </si>
  <si>
    <t>2021</t>
  </si>
  <si>
    <t>2022</t>
  </si>
  <si>
    <t>2023</t>
  </si>
  <si>
    <t>2024</t>
  </si>
  <si>
    <t>2025</t>
  </si>
  <si>
    <t>Revenue from operations</t>
  </si>
  <si>
    <t>Other operating revenues</t>
  </si>
  <si>
    <t>Total Revenue from operations</t>
  </si>
  <si>
    <t>Other income</t>
  </si>
  <si>
    <t>Total Income</t>
  </si>
  <si>
    <t>Cost of materials consumed</t>
  </si>
  <si>
    <t>Purchases of stock-in-trade</t>
  </si>
  <si>
    <t>Changes in inventories of finished goods, work-in-progress and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</si>
  <si>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</si>
  <si>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</si>
  <si>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</si>
  <si>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</si>
  <si>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</si>
  <si>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Profit before share of profits/(loss) of associates &amp; joint venture</t>
  </si>
  <si>
    <t>Share of profit/(loss) of associates &amp; joint venture</t>
  </si>
  <si>
    <t>Profit before exceptional items and tax</t>
  </si>
  <si>
    <t>Exceptional items</t>
  </si>
  <si>
    <t>Profit before tax</t>
  </si>
  <si>
    <t>Current tax</t>
  </si>
  <si>
    <t>Deferred tax</t>
  </si>
  <si>
    <t>Total tax expense</t>
  </si>
  <si>
    <t>Profit for the year</t>
  </si>
  <si>
    <t>ASSETS</t>
  </si>
  <si>
    <t>Non-current assets</t>
  </si>
  <si>
    <t>Property, plant and equipment</t>
  </si>
  <si>
    <t>Capital work-in-progress</t>
  </si>
  <si>
    <t>Investment property</t>
  </si>
  <si>
    <t>Goodwill</t>
  </si>
  <si>
    <t>Other intangible assets</t>
  </si>
  <si>
    <t>Investment in associates and joint venture</t>
  </si>
  <si>
    <t>Financial assets (Non-current):</t>
  </si>
  <si>
    <t>(i) Investments</t>
  </si>
  <si>
    <t>(ii) Loans receivable</t>
  </si>
  <si>
    <t>(iii) Other financial assets</t>
  </si>
  <si>
    <t>Deferred tax assets (net)</t>
  </si>
  <si>
    <t>Income-tax assets (net)</t>
  </si>
  <si>
    <t>Other non-current assets</t>
  </si>
  <si>
    <t>Total non-current assets</t>
  </si>
  <si>
    <t>Current assets</t>
  </si>
  <si>
    <t>Inventories</t>
  </si>
  <si>
    <t>Financial assets (Current):</t>
  </si>
  <si>
    <t>(ii) Trade receivables</t>
  </si>
  <si>
    <t>(iii) Cash and cash equivalents</t>
  </si>
  <si>
    <t>(iv) Bank balances other than (iii) above</t>
  </si>
  <si>
    <t>(v) Loans receivable</t>
  </si>
  <si>
    <t>(vi) Other financial assets</t>
  </si>
  <si>
    <t>Other current assets</t>
  </si>
  <si>
    <t>Assets held-for-sale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</si>
  <si>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</si>
  <si>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</si>
  <si>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</si>
  <si>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</si>
  <si>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</si>
  <si>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</si>
  <si>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Equity attributable to owners</t>
  </si>
  <si>
    <t>Non-controlling interests</t>
  </si>
  <si>
    <t>Total equity</t>
  </si>
  <si>
    <t>Liabilities</t>
  </si>
  <si>
    <t>Non-current liabilities</t>
  </si>
  <si>
    <t>Financial liabilities (Non-current):</t>
  </si>
  <si>
    <t>(i) Borrowings</t>
  </si>
  <si>
    <t>(ii) Lease liabilities</t>
  </si>
  <si>
    <t>(iii) Other financial liabilities</t>
  </si>
  <si>
    <t>Deferred tax liabilities (net)</t>
  </si>
  <si>
    <t>Provisions (Non-current)</t>
  </si>
  <si>
    <t>Total non-current liabilities</t>
  </si>
  <si>
    <t>Current liabilities</t>
  </si>
  <si>
    <t>Financial liabilities (Current):</t>
  </si>
  <si>
    <t>(iii) Trade payables:</t>
  </si>
  <si>
    <t>(a) dues of micro and small enterprises</t>
  </si>
  <si>
    <t>(b) dues of other than micro and small enterprises</t>
  </si>
  <si>
    <t>(iv) Other financial liabilities</t>
  </si>
  <si>
    <t>Other current liabilities</t>
  </si>
  <si>
    <t>Provisions (Current)</t>
  </si>
  <si>
    <t>Current tax liabilities (net)</t>
  </si>
  <si>
    <t>Total current liabilities</t>
  </si>
  <si>
    <t>Total liabilities</t>
  </si>
  <si>
    <t>Total equity and liabilities</t>
  </si>
  <si>
    <t>Particulars (₹ in Crores)</t>
  </si>
  <si>
    <t>A. CASH FLOWS FROM OPERATING ACTIVITIES</t>
  </si>
  <si>
    <t>Profit before tax and share of profits/(loss) of associates
  and JV (after exceptional items)</t>
  </si>
  <si>
    <t>Share based payment (ESOP) expense</t>
  </si>
  <si>
    <t>Net gain on financial assets at fair value through P&amp;L</t>
  </si>
  <si>
    <t>(Profit)/Loss on sale of PPE</t>
  </si>
  <si>
    <t>Profit on sale of investments (incl. fair valuation gain)</t>
  </si>
  <si>
    <t>Interest income from financial assets at amortised cost</t>
  </si>
  <si>
    <t>Changes in Inventories</t>
  </si>
  <si>
    <t>Changes in Trade receivables</t>
  </si>
  <si>
    <t>Changes in Loans receivable, other fin. assets,
  bank balances &amp; other assets</t>
  </si>
  <si>
    <t>Changes in Other financial assets and other assets</t>
  </si>
  <si>
    <t>Changes in Trade payables, other fin. liabilities,
  other liabilities &amp; provisions</t>
  </si>
  <si>
    <t>Cash generated from operating activities</t>
  </si>
  <si>
    <t>Income-tax paid, net of refund</t>
  </si>
  <si>
    <t>Net cash generated from operating activities (A)</t>
  </si>
  <si>
    <t>B. CASH FLOWS FROM INVESTING ACTIVITIES</t>
  </si>
  <si>
    <t>Acquisition of PPE and other intangible assets</t>
  </si>
  <si>
    <t>Proceeds from sale of PPE</t>
  </si>
  <si>
    <t>Consideration paid – business combination</t>
  </si>
  <si>
    <t>Proceeds from sale of PPE, CWIP &amp; assets held for sale</t>
  </si>
  <si>
    <t>Sale/(Purchase) of investments, net</t>
  </si>
  <si>
    <t>Proceeds from sale of non-current investments</t>
  </si>
  <si>
    <t>Investment in joint venture</t>
  </si>
  <si>
    <t>Inter-corporate deposits placed</t>
  </si>
  <si>
    <t>Inter-corporate deposits redeemed</t>
  </si>
  <si>
    <t>Changes in other bank balances</t>
  </si>
  <si>
    <t>Interest received</t>
  </si>
  <si>
    <t>Net cash generated from / (used in) investing activities (B)</t>
  </si>
  <si>
    <t>C. CASH FLOWS FROM FINANCING ACTIVITIES</t>
  </si>
  <si>
    <t>Proceeds from share allotment</t>
  </si>
  <si>
    <t>Repayment of non-current borrowings</t>
  </si>
  <si>
    <t>Repayment of commercial paper</t>
  </si>
  <si>
    <t>Repayment of term loans</t>
  </si>
  <si>
    <t>Principal payment of lease liabilities</t>
  </si>
  <si>
    <t>Interest paid on lease liabilities</t>
  </si>
  <si>
    <t>Interest paid</t>
  </si>
  <si>
    <t>Issue of bonus debentures</t>
  </si>
  <si>
    <t>Proceeds from borrowings, net</t>
  </si>
  <si>
    <t>Proceeds from working capital borrowings, net</t>
  </si>
  <si>
    <t>Contribution from non-controlling interest</t>
  </si>
  <si>
    <t>Dividends paid (incl. dividend distribution tax)</t>
  </si>
  <si>
    <t>Payment of bonus debentures (incl. DDT)</t>
  </si>
  <si>
    <t>Net cash (used in) / generated from financing activities (C)</t>
  </si>
  <si>
    <t>SUMMARY</t>
  </si>
  <si>
    <t>Net change in cash and cash equivalents (A+B+C)</t>
  </si>
  <si>
    <t>Effect of exchange rate changes on cash and cash equivalents</t>
  </si>
  <si>
    <t>Cash and cash equivalents – beginning of year (net of bank OD)</t>
  </si>
  <si>
    <t>Cash and cash equivalents – end of year (net of bank OD)</t>
  </si>
  <si>
    <t xml:space="preserve">  of which: Cash and cash equivalents</t>
  </si>
  <si>
    <t xml:space="preserve">  of which: Bank overdraft</t>
  </si>
  <si>
    <t>DEBT RECONCILIATION (Ind AS 7)</t>
  </si>
  <si>
    <t>Current borrowings – Opening balance</t>
  </si>
  <si>
    <t>Current borrowings – Proceeds/(Repayment), net</t>
  </si>
  <si>
    <t>Current borrowings – Exchange fluctuation</t>
  </si>
  <si>
    <t>Current borrowings – Non-cash change (fair value)</t>
  </si>
  <si>
    <t>Current borrowings – Closing balance</t>
  </si>
  <si>
    <t>Non-current borrowings – Opening balance</t>
  </si>
  <si>
    <t>Non-current borrowings – Proceeds/(Repayment), net</t>
  </si>
  <si>
    <t>Non-current borrowings – Closing balance</t>
  </si>
  <si>
    <t>Heading</t>
  </si>
  <si>
    <t>Sub Heading</t>
  </si>
  <si>
    <t>Separation Column</t>
  </si>
  <si>
    <t>Width 0.75</t>
  </si>
  <si>
    <t>Particulars</t>
  </si>
  <si>
    <t>Constant</t>
  </si>
  <si>
    <t>Units</t>
  </si>
  <si>
    <t>Calulations-&gt;</t>
  </si>
  <si>
    <t>Width 40</t>
  </si>
  <si>
    <t>Historical Financial Information</t>
  </si>
  <si>
    <t>Income Satement</t>
  </si>
  <si>
    <t>Britannia Industries Limited</t>
  </si>
  <si>
    <t>Balancesheet</t>
  </si>
  <si>
    <t>Cashflow Statement</t>
  </si>
  <si>
    <t>Financial Statement and Analysis</t>
  </si>
  <si>
    <t>Historical Period</t>
  </si>
  <si>
    <t>Forcasted Period</t>
  </si>
  <si>
    <t>Ratios &amp; Assumptions</t>
  </si>
  <si>
    <t>Income Statement</t>
  </si>
  <si>
    <t>Income</t>
  </si>
  <si>
    <t>Revenue</t>
  </si>
  <si>
    <t>Cost of Goood Sold(COGS)</t>
  </si>
  <si>
    <t>Gross Profit</t>
  </si>
  <si>
    <t>Expense</t>
  </si>
  <si>
    <t>Salalries and Benefits</t>
  </si>
  <si>
    <t>Other SG&amp;A Expenses</t>
  </si>
  <si>
    <t>EBITDA</t>
  </si>
  <si>
    <t>EBIT</t>
  </si>
  <si>
    <t>Other Income</t>
  </si>
  <si>
    <t>Earnings Before Tax</t>
  </si>
  <si>
    <t>Taxes</t>
  </si>
  <si>
    <t>Net Earnings</t>
  </si>
  <si>
    <t>Depriciation and Amortization Expense</t>
  </si>
  <si>
    <t>Assets</t>
  </si>
  <si>
    <t>Current Assets</t>
  </si>
  <si>
    <t>Cash</t>
  </si>
  <si>
    <t>Bank Deposits</t>
  </si>
  <si>
    <t>Accounts Receivables</t>
  </si>
  <si>
    <t>Inventory</t>
  </si>
  <si>
    <t>Other Current Assets</t>
  </si>
  <si>
    <t>Non-Current Assets</t>
  </si>
  <si>
    <t>Property &amp; Equiipments</t>
  </si>
  <si>
    <t>Financial Assets</t>
  </si>
  <si>
    <t>Other Non Current Assets</t>
  </si>
  <si>
    <t>Total Assets</t>
  </si>
  <si>
    <t>Current Liabilities</t>
  </si>
  <si>
    <t>Accounts Payables</t>
  </si>
  <si>
    <t>Other Current Liabilities</t>
  </si>
  <si>
    <t>Non-Current Liabilities</t>
  </si>
  <si>
    <t>Debt</t>
  </si>
  <si>
    <t>Other Non Current Liabilities</t>
  </si>
  <si>
    <t>Total Liabilities</t>
  </si>
  <si>
    <t>Shareholder's Equity</t>
  </si>
  <si>
    <t>Equity Capital</t>
  </si>
  <si>
    <t>Retained Earnings</t>
  </si>
  <si>
    <t>Total Shareholder's Equity</t>
  </si>
  <si>
    <t>Non Controlling Interest</t>
  </si>
  <si>
    <t>Total Liabilities &amp; Shahreholder Equity</t>
  </si>
  <si>
    <t>Investments</t>
  </si>
  <si>
    <t>Check</t>
  </si>
  <si>
    <t>Cashflow from Operating Acitvities</t>
  </si>
  <si>
    <t>Net Income</t>
  </si>
  <si>
    <t>(+/-) Depriciation&amp;Amortisation</t>
  </si>
  <si>
    <t>(+/-) Non Cash Expenses</t>
  </si>
  <si>
    <t>(+/-) Non Operating Losses</t>
  </si>
  <si>
    <t>(+/-) Change In Working Capital</t>
  </si>
  <si>
    <t>Cashflow From Operating Activities</t>
  </si>
  <si>
    <t xml:space="preserve">(-) Income Tax </t>
  </si>
  <si>
    <t>Net Cashflow From Operations</t>
  </si>
  <si>
    <t>Cashflow from Investing Activities</t>
  </si>
  <si>
    <t>(-) Investments in Properties and equipment</t>
  </si>
  <si>
    <t>(+) Sale of Property plant and Equipment</t>
  </si>
  <si>
    <t>(+) Investment Made in Instruments</t>
  </si>
  <si>
    <t>(-) Sale of investments</t>
  </si>
  <si>
    <t>(+) Interest and Dividend received</t>
  </si>
  <si>
    <t>Cash From Investing Activity</t>
  </si>
  <si>
    <t>Cashflow from Financing Activities</t>
  </si>
  <si>
    <t>Issuance of debt repayment</t>
  </si>
  <si>
    <t>Dividend Paid</t>
  </si>
  <si>
    <t>Interest Paid</t>
  </si>
  <si>
    <t>Cash From Financing Activities</t>
  </si>
  <si>
    <t>Net Cashflow</t>
  </si>
  <si>
    <t>Opening Cash Balance</t>
  </si>
  <si>
    <t>Closing Cash Balance</t>
  </si>
  <si>
    <t>Sale of Current Investment</t>
  </si>
  <si>
    <t>Live Scenario</t>
  </si>
  <si>
    <t>Bull Case</t>
  </si>
  <si>
    <t>Revenue(Growth)</t>
  </si>
  <si>
    <t>%</t>
  </si>
  <si>
    <t>Cost of Goood Sold (% of Revenue)</t>
  </si>
  <si>
    <t>Salaries and Benefits (% of Revenue)</t>
  </si>
  <si>
    <t>Other SG&amp;A Expenses (% of Revenue)</t>
  </si>
  <si>
    <t>Depreciation and amortisation expense (% of PP&amp;E)</t>
  </si>
  <si>
    <t>Interest Expenses (% of Debt)</t>
  </si>
  <si>
    <t>Other Income(Expenses) (% of Revenue)</t>
  </si>
  <si>
    <t>Taxes (% of Earnings before Tax)</t>
  </si>
  <si>
    <t>Dividend Payout</t>
  </si>
  <si>
    <t>Accounts Recievables</t>
  </si>
  <si>
    <t>Days</t>
  </si>
  <si>
    <t>Inventory DIO</t>
  </si>
  <si>
    <t>Times</t>
  </si>
  <si>
    <t>Scenarios</t>
  </si>
  <si>
    <t>Growth</t>
  </si>
  <si>
    <t>Base Case</t>
  </si>
  <si>
    <t>Bear Case</t>
  </si>
  <si>
    <t>Annual Growth Tapering</t>
  </si>
  <si>
    <t>Supporting Schedules</t>
  </si>
  <si>
    <t>Interest Expense</t>
  </si>
  <si>
    <t>Working Capital</t>
  </si>
  <si>
    <t>Accounts Recievable</t>
  </si>
  <si>
    <t>Others</t>
  </si>
  <si>
    <t>Total</t>
  </si>
  <si>
    <t>Depriciation Schedule</t>
  </si>
  <si>
    <t>PPE Opening</t>
  </si>
  <si>
    <t>Plus Capex</t>
  </si>
  <si>
    <t>Less Depriciation</t>
  </si>
  <si>
    <t>PPE Closing</t>
  </si>
  <si>
    <t>Debt &amp; Interest Schedule</t>
  </si>
  <si>
    <t>Debt Opening</t>
  </si>
  <si>
    <t>Issuance(Repayment)</t>
  </si>
  <si>
    <t>Debt Closing</t>
  </si>
  <si>
    <t>Investment in associates and joint ventures</t>
  </si>
  <si>
    <t>Loan Recievables</t>
  </si>
  <si>
    <t>Accounts Payables DPO</t>
  </si>
  <si>
    <t>S.No.</t>
  </si>
  <si>
    <t>Name</t>
  </si>
  <si>
    <t>P/E</t>
  </si>
  <si>
    <t>EV / EBITDA</t>
  </si>
  <si>
    <t>Debt / Eq</t>
  </si>
  <si>
    <t>CMP / FCF</t>
  </si>
  <si>
    <t>Nestle India</t>
  </si>
  <si>
    <t>Britannia Inds.</t>
  </si>
  <si>
    <t>Bikaji Foods</t>
  </si>
  <si>
    <t>Zydus Wellness</t>
  </si>
  <si>
    <t>Gopal Snacks</t>
  </si>
  <si>
    <t>Hind. Unilever</t>
  </si>
  <si>
    <t>ITC</t>
  </si>
  <si>
    <t>CMP Rs.</t>
  </si>
  <si>
    <t>Mar Cap Rs.Cr.</t>
  </si>
  <si>
    <t>Qtr Profit Var %</t>
  </si>
  <si>
    <t>Sales Qtr Rs.Cr.</t>
  </si>
  <si>
    <t>ROCE %</t>
  </si>
  <si>
    <t>No. Eq. Shares Cr.</t>
  </si>
  <si>
    <t>No. Eq. Shares PY Cr.</t>
  </si>
  <si>
    <t>Debt Rs.Cr.</t>
  </si>
  <si>
    <t>EV Rs.Cr.</t>
  </si>
  <si>
    <t>EBIDT Ann Rs.Cr.</t>
  </si>
  <si>
    <t>PAT 12M Rs.Cr.</t>
  </si>
  <si>
    <t>Marico</t>
  </si>
  <si>
    <t>Patanjali Foods</t>
  </si>
  <si>
    <t>Levered Beta</t>
  </si>
  <si>
    <t>Equity Market Return</t>
  </si>
  <si>
    <t>Market Return</t>
  </si>
  <si>
    <t>Britannia Price</t>
  </si>
  <si>
    <t>Nifty Price</t>
  </si>
  <si>
    <t>Britannia Return</t>
  </si>
  <si>
    <t>Nifty Return</t>
  </si>
  <si>
    <t>Date</t>
  </si>
  <si>
    <t>No. of Years</t>
  </si>
  <si>
    <t>Index</t>
  </si>
  <si>
    <t>Nifty 50</t>
  </si>
  <si>
    <t>Beta</t>
  </si>
  <si>
    <t>Company Beta(Regression)</t>
  </si>
  <si>
    <t>Comps Valuation</t>
  </si>
  <si>
    <t>Market Data</t>
  </si>
  <si>
    <t>Financial Data</t>
  </si>
  <si>
    <t>Valuation Metrics</t>
  </si>
  <si>
    <t>Price</t>
  </si>
  <si>
    <t xml:space="preserve">Shares </t>
  </si>
  <si>
    <t>Market Cap</t>
  </si>
  <si>
    <t>EV</t>
  </si>
  <si>
    <t>Sale</t>
  </si>
  <si>
    <t>Earnings</t>
  </si>
  <si>
    <t>EV/Sales</t>
  </si>
  <si>
    <t>EV/EBITDA</t>
  </si>
  <si>
    <t>Company Name</t>
  </si>
  <si>
    <t>₹/share</t>
  </si>
  <si>
    <t>x</t>
  </si>
  <si>
    <t>Average</t>
  </si>
  <si>
    <t>Median</t>
  </si>
  <si>
    <t>Metric</t>
  </si>
  <si>
    <t>Comps</t>
  </si>
  <si>
    <t xml:space="preserve">Net Debt </t>
  </si>
  <si>
    <t>Equity Value</t>
  </si>
  <si>
    <t>Shares</t>
  </si>
  <si>
    <t>Share Price</t>
  </si>
  <si>
    <t>in Cr</t>
  </si>
  <si>
    <t>₹ Cr</t>
  </si>
  <si>
    <t>Sales</t>
  </si>
  <si>
    <t>Investments as % of Earnings</t>
  </si>
  <si>
    <t>Income Tax as % of Cashflow from operationns</t>
  </si>
  <si>
    <t>Capital asset turnover ratio</t>
  </si>
  <si>
    <t>DCF Model</t>
  </si>
  <si>
    <t>Assumptions</t>
  </si>
  <si>
    <t>Transaction Date</t>
  </si>
  <si>
    <t>Fiscal Year End</t>
  </si>
  <si>
    <t>Tax Rate</t>
  </si>
  <si>
    <t>EV/EBITDA Multiple</t>
  </si>
  <si>
    <t>Perpetual Growth Rate</t>
  </si>
  <si>
    <t>Discount Rate</t>
  </si>
  <si>
    <t>Share Oustanding</t>
  </si>
  <si>
    <t>Discounted Cash Flow</t>
  </si>
  <si>
    <t xml:space="preserve">Entry </t>
  </si>
  <si>
    <t>Exit</t>
  </si>
  <si>
    <t>Terminal Value</t>
  </si>
  <si>
    <t>Time Period</t>
  </si>
  <si>
    <t>Prep. Growth</t>
  </si>
  <si>
    <t>Year frac.</t>
  </si>
  <si>
    <t>Less: Cash Taxes</t>
  </si>
  <si>
    <t>NOPAT</t>
  </si>
  <si>
    <t>Plus: Depriciation &amp; Amortitization</t>
  </si>
  <si>
    <t>Unlevered FCFF</t>
  </si>
  <si>
    <t>Transaction FCFF</t>
  </si>
  <si>
    <t>Intrinsic Value</t>
  </si>
  <si>
    <t>Market Value</t>
  </si>
  <si>
    <t>Rate of Return</t>
  </si>
  <si>
    <t>Ensterprise Value</t>
  </si>
  <si>
    <t>Current Price</t>
  </si>
  <si>
    <t>Plus: Cash &amp; Cash Equivalents</t>
  </si>
  <si>
    <t>Plus: Debt</t>
  </si>
  <si>
    <t>Target Price</t>
  </si>
  <si>
    <t>Less: Debt</t>
  </si>
  <si>
    <t>Plus: Non Controlling Interest</t>
  </si>
  <si>
    <t>TP upside</t>
  </si>
  <si>
    <t>Less: Non Controlling Interest</t>
  </si>
  <si>
    <t>Less: Cash &amp; Equivalents</t>
  </si>
  <si>
    <t>Enterprise Value</t>
  </si>
  <si>
    <t>Equity per share</t>
  </si>
  <si>
    <t>Sensitivity Analysis</t>
  </si>
  <si>
    <t>Sensitiviities- Intrinsic value(₹/share)</t>
  </si>
  <si>
    <t>Exit Multiple</t>
  </si>
  <si>
    <t>Weigthed Average Cost of Capital</t>
  </si>
  <si>
    <t>Comparable Companies Beta</t>
  </si>
  <si>
    <t xml:space="preserve">Total </t>
  </si>
  <si>
    <t>Debt/</t>
  </si>
  <si>
    <t xml:space="preserve">Tax </t>
  </si>
  <si>
    <t xml:space="preserve">Levered </t>
  </si>
  <si>
    <t xml:space="preserve">Unlevered </t>
  </si>
  <si>
    <t>Value</t>
  </si>
  <si>
    <t>Capital</t>
  </si>
  <si>
    <t>Rate%</t>
  </si>
  <si>
    <t>WACC Calculation</t>
  </si>
  <si>
    <t>Target Capital Structure</t>
  </si>
  <si>
    <t>Proportion of Debt</t>
  </si>
  <si>
    <t>Proportion Of Equity</t>
  </si>
  <si>
    <t>Current Capital Structure</t>
  </si>
  <si>
    <t>Total Debt</t>
  </si>
  <si>
    <t>Debt/ Equity</t>
  </si>
  <si>
    <t>Cost of Debt</t>
  </si>
  <si>
    <t>Pre Tax Cost of Debt</t>
  </si>
  <si>
    <t>After Tax Cost of Debt</t>
  </si>
  <si>
    <t>Cost of Equity</t>
  </si>
  <si>
    <t>Risk Free Rate</t>
  </si>
  <si>
    <t>Equity Risk Premium</t>
  </si>
  <si>
    <t>Levered Equity Beta</t>
  </si>
  <si>
    <t>WACC</t>
  </si>
  <si>
    <t>Britannia Industries Ltd.</t>
  </si>
  <si>
    <t>₹ in Cr</t>
  </si>
  <si>
    <t>Rsquare</t>
  </si>
  <si>
    <t>(+/-) Capex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</si>
  <si>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</si>
  <si>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</si>
  <si>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</si>
  <si>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</si>
  <si>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</si>
  <si>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</si>
  <si>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</si>
  <si>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</si>
  <si>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</si>
  <si>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</si>
  <si>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</si>
  <si>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</si>
  <si>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</si>
  <si>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</si>
  <si>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</si>
  <si>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</si>
  <si>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</si>
  <si>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</si>
  <si>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</si>
  <si>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Intercept</t>
  </si>
  <si>
    <t>Market Beta</t>
  </si>
  <si>
    <t>SUMMARY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</si>
</sst>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₹&quot;\ #,##0.00;[Red]&quot;₹&quot;\ \-#,##0.00"/>
    <numFmt numFmtId="164" formatCode="#,##0.00;\(#,##0.00\)"/>
    <numFmt numFmtId="165" formatCode="0\A"/>
    <numFmt numFmtId="166" formatCode="0&quot;E&quot;"/>
    <numFmt numFmtId="167" formatCode="#,##0;\(#,##0\);&quot;-&quot;"/>
    <numFmt numFmtId="168" formatCode="0.0%"/>
    <numFmt numFmtId="169" formatCode="#,##0.00;\(#,##0.00\);&quot;-&quot;"/>
    <numFmt numFmtId="170" formatCode="0.000&quot;x&quot;"/>
    <numFmt numFmtId="171" formatCode="#,##0.00_ ;[Red]\-#,##0.00\ "/>
    <numFmt numFmtId="172" formatCode="0.0&quot;x&quot;"/>
    <numFmt numFmtId="173" formatCode="0.000"/>
  </numFmts>
  <fonts count="3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  <charset val="1"/>
    </font>
    <font>
      <b/>
      <sz val="25"/>
      <color theme="0"/>
      <name val="Calibri"/>
      <family val="2"/>
    </font>
    <font>
      <sz val="15"/>
      <color theme="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</font>
    <font>
      <b/>
      <sz val="15"/>
      <color theme="0"/>
      <name val="Calibri"/>
      <family val="2"/>
    </font>
    <font>
      <b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8"/>
      <color theme="0"/>
      <name val="Calibri"/>
      <family val="2"/>
    </font>
    <font>
      <sz val="11"/>
      <color theme="4" tint="-0.499984740745262"/>
      <name val="Calibri"/>
      <family val="2"/>
    </font>
    <font>
      <sz val="11"/>
      <color theme="1"/>
      <name val="Arial"/>
      <family val="2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0"/>
      <name val="Arial"/>
      <family val="2"/>
    </font>
    <font>
      <b/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Calibri"/>
      <family val="2"/>
      <charset val="1"/>
    </font>
    <font>
      <sz val="11"/>
      <name val="Arial"/>
      <family val="2"/>
    </font>
    <font>
      <sz val="11"/>
      <name val="Arial"/>
      <family val="2"/>
    </font>
    <font>
      <i/>
      <sz val="11"/>
      <color theme="1"/>
      <name val="Calibri"/>
      <family val="2"/>
    </font>
    <font>
      <i/>
      <sz val="11"/>
      <color theme="5" tint="-0.2499465926084170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8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0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/>
      <top/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/>
      <diagonal/>
    </border>
    <border>
      <left/>
      <right/>
      <top style="thin">
        <color theme="1" tint="4.9989318521683403E-2"/>
      </top>
      <bottom style="double">
        <color theme="1" tint="4.9989318521683403E-2"/>
      </bottom>
      <diagonal/>
    </border>
    <border>
      <left/>
      <right/>
      <top/>
      <bottom style="medium">
        <color theme="1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 style="dotted">
        <color auto="1"/>
      </left>
      <right/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/>
      <diagonal/>
    </border>
  </borders>
  <cellStyleXfs count="3">
    <xf numFmtId="0" fontId="0" fillId="0" borderId="0"/>
    <xf numFmtId="9" fontId="2" fillId="0" borderId="0"/>
    <xf numFmtId="0" fontId="6" fillId="0" borderId="0" applyNumberFormat="0" applyFill="0" applyBorder="0" applyAlignment="0" applyProtection="0"/>
  </cellStyleXfs>
  <cellXfs count="139">
    <xf numFmtId="0" fontId="0" fillId="0" borderId="0" xfId="0"/>
    <xf numFmtId="9" fontId="0" fillId="0" borderId="0" xfId="1" applyFont="1"/>
    <xf numFmtId="9" fontId="4" fillId="0" borderId="1" xfId="1" applyFont="1" applyBorder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9" fillId="0" borderId="0" xfId="0" applyFont="1"/>
    <xf numFmtId="164" fontId="9" fillId="0" borderId="0" xfId="0" applyNumberFormat="1" applyFont="1"/>
    <xf numFmtId="9" fontId="7" fillId="2" borderId="0" xfId="1" applyFont="1" applyFill="1"/>
    <xf numFmtId="9" fontId="5" fillId="2" borderId="0" xfId="1" applyFont="1" applyFill="1"/>
    <xf numFmtId="0" fontId="5" fillId="2" borderId="0" xfId="0" applyFont="1" applyFill="1"/>
    <xf numFmtId="9" fontId="8" fillId="2" borderId="0" xfId="1" applyFont="1" applyFill="1"/>
    <xf numFmtId="0" fontId="3" fillId="2" borderId="0" xfId="0" applyFont="1" applyFill="1"/>
    <xf numFmtId="0" fontId="11" fillId="2" borderId="0" xfId="0" applyFont="1" applyFill="1" applyAlignment="1">
      <alignment horizontal="centerContinuous"/>
    </xf>
    <xf numFmtId="0" fontId="12" fillId="2" borderId="0" xfId="0" applyFont="1" applyFill="1" applyAlignment="1">
      <alignment horizontal="centerContinuous"/>
    </xf>
    <xf numFmtId="0" fontId="12" fillId="3" borderId="0" xfId="0" applyFont="1" applyFill="1" applyAlignment="1">
      <alignment horizontal="centerContinuous"/>
    </xf>
    <xf numFmtId="0" fontId="5" fillId="3" borderId="0" xfId="0" applyFont="1" applyFill="1"/>
    <xf numFmtId="0" fontId="11" fillId="3" borderId="3" xfId="0" applyFont="1" applyFill="1" applyBorder="1" applyAlignment="1">
      <alignment horizontal="centerContinuous"/>
    </xf>
    <xf numFmtId="9" fontId="15" fillId="2" borderId="0" xfId="1" applyFont="1" applyFill="1"/>
    <xf numFmtId="9" fontId="3" fillId="2" borderId="0" xfId="1" applyFont="1" applyFill="1"/>
    <xf numFmtId="0" fontId="3" fillId="3" borderId="3" xfId="0" applyFont="1" applyFill="1" applyBorder="1"/>
    <xf numFmtId="0" fontId="3" fillId="3" borderId="0" xfId="0" applyFont="1" applyFill="1"/>
    <xf numFmtId="9" fontId="4" fillId="0" borderId="0" xfId="1" applyFont="1"/>
    <xf numFmtId="0" fontId="0" fillId="0" borderId="4" xfId="0" applyBorder="1"/>
    <xf numFmtId="0" fontId="4" fillId="0" borderId="4" xfId="0" applyFont="1" applyBorder="1"/>
    <xf numFmtId="0" fontId="4" fillId="0" borderId="5" xfId="0" applyFont="1" applyBorder="1"/>
    <xf numFmtId="165" fontId="10" fillId="2" borderId="0" xfId="0" applyNumberFormat="1" applyFont="1" applyFill="1"/>
    <xf numFmtId="166" fontId="10" fillId="3" borderId="3" xfId="0" applyNumberFormat="1" applyFont="1" applyFill="1" applyBorder="1"/>
    <xf numFmtId="166" fontId="10" fillId="3" borderId="0" xfId="0" applyNumberFormat="1" applyFont="1" applyFill="1"/>
    <xf numFmtId="0" fontId="10" fillId="2" borderId="0" xfId="0" applyFont="1" applyFill="1"/>
    <xf numFmtId="0" fontId="1" fillId="0" borderId="0" xfId="0" applyFont="1"/>
    <xf numFmtId="0" fontId="0" fillId="0" borderId="6" xfId="0" applyBorder="1"/>
    <xf numFmtId="0" fontId="4" fillId="0" borderId="7" xfId="0" applyFont="1" applyBorder="1"/>
    <xf numFmtId="0" fontId="0" fillId="0" borderId="7" xfId="0" applyBorder="1"/>
    <xf numFmtId="0" fontId="4" fillId="0" borderId="8" xfId="0" applyFont="1" applyBorder="1"/>
    <xf numFmtId="167" fontId="4" fillId="0" borderId="0" xfId="0" applyNumberFormat="1" applyFont="1"/>
    <xf numFmtId="167" fontId="0" fillId="0" borderId="0" xfId="0" applyNumberFormat="1"/>
    <xf numFmtId="0" fontId="0" fillId="0" borderId="8" xfId="0" applyBorder="1"/>
    <xf numFmtId="9" fontId="4" fillId="0" borderId="7" xfId="1" applyFont="1" applyBorder="1"/>
    <xf numFmtId="0" fontId="4" fillId="0" borderId="9" xfId="0" applyFont="1" applyBorder="1"/>
    <xf numFmtId="168" fontId="0" fillId="0" borderId="10" xfId="0" applyNumberFormat="1" applyBorder="1"/>
    <xf numFmtId="168" fontId="0" fillId="0" borderId="0" xfId="0" applyNumberFormat="1"/>
    <xf numFmtId="9" fontId="7" fillId="3" borderId="0" xfId="1" applyFont="1" applyFill="1"/>
    <xf numFmtId="9" fontId="5" fillId="3" borderId="0" xfId="1" applyFont="1" applyFill="1"/>
    <xf numFmtId="9" fontId="18" fillId="3" borderId="0" xfId="1" applyFont="1" applyFill="1"/>
    <xf numFmtId="9" fontId="3" fillId="3" borderId="0" xfId="1" applyFont="1" applyFill="1"/>
    <xf numFmtId="9" fontId="0" fillId="0" borderId="0" xfId="0" applyNumberFormat="1"/>
    <xf numFmtId="2" fontId="0" fillId="0" borderId="0" xfId="0" applyNumberFormat="1"/>
    <xf numFmtId="0" fontId="4" fillId="0" borderId="12" xfId="0" applyFont="1" applyBorder="1"/>
    <xf numFmtId="0" fontId="4" fillId="0" borderId="11" xfId="0" applyFont="1" applyBorder="1"/>
    <xf numFmtId="0" fontId="0" fillId="0" borderId="13" xfId="0" applyBorder="1"/>
    <xf numFmtId="167" fontId="19" fillId="0" borderId="0" xfId="0" applyNumberFormat="1" applyFont="1"/>
    <xf numFmtId="169" fontId="4" fillId="0" borderId="0" xfId="0" applyNumberFormat="1" applyFont="1"/>
    <xf numFmtId="169" fontId="16" fillId="0" borderId="0" xfId="0" applyNumberFormat="1" applyFont="1"/>
    <xf numFmtId="169" fontId="17" fillId="0" borderId="0" xfId="0" applyNumberFormat="1" applyFont="1"/>
    <xf numFmtId="169" fontId="4" fillId="0" borderId="7" xfId="0" applyNumberFormat="1" applyFont="1" applyBorder="1"/>
    <xf numFmtId="169" fontId="0" fillId="0" borderId="0" xfId="0" applyNumberFormat="1"/>
    <xf numFmtId="169" fontId="4" fillId="0" borderId="8" xfId="0" applyNumberFormat="1" applyFont="1" applyBorder="1"/>
    <xf numFmtId="169" fontId="3" fillId="2" borderId="0" xfId="0" applyNumberFormat="1" applyFont="1" applyFill="1"/>
    <xf numFmtId="169" fontId="1" fillId="0" borderId="0" xfId="0" applyNumberFormat="1" applyFont="1"/>
    <xf numFmtId="0" fontId="20" fillId="4" borderId="0" xfId="0" applyFont="1" applyFill="1" applyAlignment="1">
      <alignment horizontal="left" vertical="center" indent="1"/>
    </xf>
    <xf numFmtId="0" fontId="0" fillId="4" borderId="0" xfId="2" applyFont="1" applyFill="1" applyBorder="1" applyAlignment="1">
      <alignment horizontal="left" vertical="center"/>
    </xf>
    <xf numFmtId="0" fontId="20" fillId="4" borderId="0" xfId="0" applyFont="1" applyFill="1" applyAlignment="1">
      <alignment horizontal="right" vertical="center" wrapText="1"/>
    </xf>
    <xf numFmtId="0" fontId="22" fillId="2" borderId="0" xfId="0" applyFont="1" applyFill="1"/>
    <xf numFmtId="0" fontId="23" fillId="2" borderId="0" xfId="0" applyFont="1" applyFill="1" applyAlignment="1">
      <alignment horizontal="left" vertical="center" indent="1"/>
    </xf>
    <xf numFmtId="0" fontId="23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right" vertical="center" wrapText="1"/>
    </xf>
    <xf numFmtId="0" fontId="24" fillId="4" borderId="0" xfId="2" applyFont="1" applyFill="1" applyBorder="1" applyAlignment="1">
      <alignment horizontal="left" vertical="center"/>
    </xf>
    <xf numFmtId="10" fontId="0" fillId="0" borderId="0" xfId="0" applyNumberFormat="1"/>
    <xf numFmtId="0" fontId="25" fillId="4" borderId="0" xfId="0" applyFont="1" applyFill="1" applyAlignment="1">
      <alignment horizontal="left" vertical="center" indent="1"/>
    </xf>
    <xf numFmtId="0" fontId="26" fillId="0" borderId="0" xfId="0" applyFont="1"/>
    <xf numFmtId="0" fontId="25" fillId="4" borderId="0" xfId="0" applyFont="1" applyFill="1" applyAlignment="1">
      <alignment horizontal="right" vertical="center" wrapText="1"/>
    </xf>
    <xf numFmtId="0" fontId="27" fillId="4" borderId="0" xfId="0" applyFont="1" applyFill="1" applyAlignment="1">
      <alignment horizontal="left" vertical="center" indent="1"/>
    </xf>
    <xf numFmtId="0" fontId="28" fillId="4" borderId="0" xfId="0" applyFont="1" applyFill="1" applyAlignment="1">
      <alignment horizontal="right" vertical="center" wrapText="1"/>
    </xf>
    <xf numFmtId="0" fontId="27" fillId="4" borderId="0" xfId="0" applyFont="1" applyFill="1" applyAlignment="1">
      <alignment horizontal="right" vertical="center" wrapText="1"/>
    </xf>
    <xf numFmtId="0" fontId="5" fillId="4" borderId="0" xfId="0" applyFont="1" applyFill="1"/>
    <xf numFmtId="0" fontId="0" fillId="4" borderId="0" xfId="0" applyFill="1"/>
    <xf numFmtId="0" fontId="3" fillId="3" borderId="0" xfId="0" applyFont="1" applyFill="1" applyAlignment="1">
      <alignment horizontal="center" vertical="top"/>
    </xf>
    <xf numFmtId="14" fontId="0" fillId="0" borderId="0" xfId="0" applyNumberFormat="1"/>
    <xf numFmtId="0" fontId="0" fillId="0" borderId="14" xfId="0" applyBorder="1"/>
    <xf numFmtId="9" fontId="0" fillId="0" borderId="14" xfId="0" applyNumberFormat="1" applyBorder="1"/>
    <xf numFmtId="0" fontId="3" fillId="3" borderId="14" xfId="0" applyFont="1" applyFill="1" applyBorder="1"/>
    <xf numFmtId="8" fontId="0" fillId="0" borderId="0" xfId="0" applyNumberFormat="1"/>
    <xf numFmtId="0" fontId="11" fillId="4" borderId="3" xfId="0" applyFont="1" applyFill="1" applyBorder="1" applyAlignment="1">
      <alignment horizontal="centerContinuous"/>
    </xf>
    <xf numFmtId="0" fontId="12" fillId="4" borderId="0" xfId="0" applyFont="1" applyFill="1" applyAlignment="1">
      <alignment horizontal="centerContinuous"/>
    </xf>
    <xf numFmtId="166" fontId="10" fillId="4" borderId="3" xfId="0" applyNumberFormat="1" applyFont="1" applyFill="1" applyBorder="1"/>
    <xf numFmtId="166" fontId="10" fillId="4" borderId="0" xfId="0" applyNumberFormat="1" applyFont="1" applyFill="1"/>
    <xf numFmtId="9" fontId="18" fillId="2" borderId="0" xfId="1" applyFont="1" applyFill="1"/>
    <xf numFmtId="0" fontId="0" fillId="3" borderId="0" xfId="0" applyFill="1"/>
    <xf numFmtId="0" fontId="21" fillId="3" borderId="0" xfId="0" applyFont="1" applyFill="1"/>
    <xf numFmtId="0" fontId="4" fillId="0" borderId="15" xfId="0" applyFont="1" applyBorder="1"/>
    <xf numFmtId="170" fontId="0" fillId="0" borderId="0" xfId="0" applyNumberFormat="1"/>
    <xf numFmtId="14" fontId="29" fillId="0" borderId="0" xfId="0" applyNumberFormat="1" applyFont="1"/>
    <xf numFmtId="171" fontId="0" fillId="0" borderId="4" xfId="0" applyNumberFormat="1" applyBorder="1"/>
    <xf numFmtId="2" fontId="29" fillId="0" borderId="0" xfId="0" applyNumberFormat="1" applyFont="1"/>
    <xf numFmtId="2" fontId="30" fillId="0" borderId="0" xfId="0" applyNumberFormat="1" applyFont="1"/>
    <xf numFmtId="171" fontId="4" fillId="0" borderId="4" xfId="0" applyNumberFormat="1" applyFont="1" applyBorder="1"/>
    <xf numFmtId="0" fontId="0" fillId="0" borderId="15" xfId="0" applyBorder="1"/>
    <xf numFmtId="167" fontId="0" fillId="0" borderId="15" xfId="0" applyNumberFormat="1" applyBorder="1"/>
    <xf numFmtId="8" fontId="0" fillId="0" borderId="4" xfId="0" applyNumberFormat="1" applyBorder="1"/>
    <xf numFmtId="0" fontId="4" fillId="0" borderId="15" xfId="0" applyFont="1" applyBorder="1" applyAlignment="1">
      <alignment horizontal="centerContinuous"/>
    </xf>
    <xf numFmtId="0" fontId="0" fillId="0" borderId="15" xfId="0" applyBorder="1" applyAlignment="1">
      <alignment horizontal="centerContinuous"/>
    </xf>
    <xf numFmtId="0" fontId="4" fillId="0" borderId="16" xfId="0" applyFont="1" applyBorder="1"/>
    <xf numFmtId="172" fontId="4" fillId="0" borderId="0" xfId="0" applyNumberFormat="1" applyFont="1"/>
    <xf numFmtId="10" fontId="4" fillId="0" borderId="16" xfId="0" applyNumberFormat="1" applyFont="1" applyBorder="1"/>
    <xf numFmtId="0" fontId="0" fillId="5" borderId="0" xfId="0" applyFill="1"/>
    <xf numFmtId="0" fontId="0" fillId="6" borderId="0" xfId="0" applyFill="1"/>
    <xf numFmtId="168" fontId="4" fillId="0" borderId="0" xfId="0" applyNumberFormat="1" applyFont="1"/>
    <xf numFmtId="0" fontId="0" fillId="0" borderId="0" xfId="0" applyAlignment="1">
      <alignment wrapText="1"/>
    </xf>
    <xf numFmtId="9" fontId="13" fillId="3" borderId="0" xfId="1" applyFont="1" applyFill="1"/>
    <xf numFmtId="9" fontId="14" fillId="3" borderId="0" xfId="1" applyFont="1" applyFill="1"/>
    <xf numFmtId="0" fontId="14" fillId="3" borderId="0" xfId="0" applyFont="1" applyFill="1"/>
    <xf numFmtId="0" fontId="4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9" fontId="0" fillId="0" borderId="4" xfId="1" applyFont="1" applyBorder="1"/>
    <xf numFmtId="10" fontId="0" fillId="0" borderId="4" xfId="0" applyNumberFormat="1" applyBorder="1"/>
    <xf numFmtId="10" fontId="4" fillId="0" borderId="5" xfId="0" applyNumberFormat="1" applyFont="1" applyBorder="1"/>
    <xf numFmtId="0" fontId="4" fillId="7" borderId="0" xfId="0" applyFont="1" applyFill="1"/>
    <xf numFmtId="8" fontId="0" fillId="7" borderId="0" xfId="0" applyNumberFormat="1" applyFill="1"/>
    <xf numFmtId="10" fontId="0" fillId="7" borderId="0" xfId="0" applyNumberFormat="1" applyFill="1"/>
    <xf numFmtId="9" fontId="0" fillId="7" borderId="0" xfId="0" applyNumberFormat="1" applyFill="1"/>
    <xf numFmtId="2" fontId="0" fillId="7" borderId="0" xfId="0" applyNumberFormat="1" applyFill="1"/>
    <xf numFmtId="9" fontId="4" fillId="7" borderId="0" xfId="1" applyFont="1" applyFill="1"/>
    <xf numFmtId="9" fontId="0" fillId="7" borderId="0" xfId="1" applyFont="1" applyFill="1"/>
    <xf numFmtId="0" fontId="0" fillId="7" borderId="0" xfId="0" applyFill="1"/>
    <xf numFmtId="9" fontId="13" fillId="2" borderId="0" xfId="1" applyFont="1" applyFill="1"/>
    <xf numFmtId="9" fontId="14" fillId="2" borderId="0" xfId="1" applyFont="1" applyFill="1"/>
    <xf numFmtId="0" fontId="14" fillId="2" borderId="0" xfId="0" applyFont="1" applyFill="1"/>
    <xf numFmtId="0" fontId="10" fillId="2" borderId="0" xfId="0" applyFont="1" applyFill="1" applyAlignment="1">
      <alignment horizontal="centerContinuous" vertical="center"/>
    </xf>
    <xf numFmtId="167" fontId="4" fillId="0" borderId="4" xfId="0" applyNumberFormat="1" applyFont="1" applyBorder="1"/>
    <xf numFmtId="171" fontId="4" fillId="0" borderId="0" xfId="0" applyNumberFormat="1" applyFont="1"/>
    <xf numFmtId="0" fontId="4" fillId="0" borderId="14" xfId="0" applyFont="1" applyBorder="1"/>
    <xf numFmtId="173" fontId="4" fillId="0" borderId="14" xfId="0" applyNumberFormat="1" applyFont="1" applyBorder="1"/>
    <xf numFmtId="8" fontId="4" fillId="0" borderId="0" xfId="0" applyNumberFormat="1" applyFont="1"/>
    <xf numFmtId="10" fontId="4" fillId="0" borderId="0" xfId="0" applyNumberFormat="1" applyFont="1"/>
    <xf numFmtId="9" fontId="4" fillId="0" borderId="0" xfId="0" applyNumberFormat="1" applyFont="1"/>
    <xf numFmtId="2" fontId="4" fillId="0" borderId="0" xfId="0" applyNumberFormat="1" applyFont="1"/>
    <xf numFmtId="11" fontId="0" fillId="0" borderId="0" xfId="0" applyNumberFormat="1"/>
    <xf numFmtId="0" fontId="4" fillId="0" borderId="0" xfId="0" applyFont="1" applyAlignment="1">
      <alignment textRotation="90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C0392B"/>
      <rgbColor rgb="FF993366"/>
      <rgbColor rgb="FF333399"/>
      <rgbColor rgb="FF1C2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E0000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uj patel" id="{61E75652-1A16-46DD-A269-5E3F21264586}" userId="e2f8a59adb5d416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1" dT="2026-05-11T18:19:13.20" personId="{61E75652-1A16-46DD-A269-5E3F21264586}" id="{D4485A7E-4DAF-437A-AB70-9085CFC84B5A}">
    <text xml:space="preserve">10 Years G-Sec Yield
</text>
  </threadedComment>
</ThreadedComment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8536-131C-4172-81EF-B02401F18711}">
  <dimension ref="A1:H7"/>
  <sheetViews>
    <sheetView workbookViewId="0">
      <selection activeCell="D13" sqref="D13"/>
    </sheetView>
  </sheetViews>
  <sheetFormatPr defaultColWidth="11.77734375" defaultRowHeight="14.4" x14ac:dyDescent="0.3"/>
  <cols>
    <col min="1" max="3" width="1.33203125" style="1" customWidth="1"/>
    <col min="4" max="4" width="40.77734375" customWidth="1"/>
    <col min="5" max="6" width="12.77734375" customWidth="1"/>
    <col min="7" max="7" width="2.77734375" customWidth="1"/>
  </cols>
  <sheetData>
    <row r="1" spans="1:8" x14ac:dyDescent="0.3">
      <c r="A1" s="1" t="s">
        <v>144</v>
      </c>
    </row>
    <row r="2" spans="1:8" x14ac:dyDescent="0.3">
      <c r="B2" s="1" t="s">
        <v>145</v>
      </c>
      <c r="G2" t="s">
        <v>146</v>
      </c>
    </row>
    <row r="3" spans="1:8" x14ac:dyDescent="0.3">
      <c r="C3" s="1" t="s">
        <v>145</v>
      </c>
    </row>
    <row r="4" spans="1:8" x14ac:dyDescent="0.3">
      <c r="B4" s="1" t="s">
        <v>147</v>
      </c>
    </row>
    <row r="5" spans="1:8" x14ac:dyDescent="0.3">
      <c r="D5" t="s">
        <v>148</v>
      </c>
      <c r="E5" t="s">
        <v>149</v>
      </c>
      <c r="F5" t="s">
        <v>150</v>
      </c>
      <c r="H5" t="s">
        <v>151</v>
      </c>
    </row>
    <row r="7" spans="1:8" x14ac:dyDescent="0.3">
      <c r="B7" s="1">
        <v>7.4999999999999997E-3</v>
      </c>
      <c r="D7" t="s">
        <v>152</v>
      </c>
      <c r="E7">
        <v>12</v>
      </c>
      <c r="F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4"/>
  <sheetViews>
    <sheetView showGridLines="0" zoomScale="84" zoomScaleNormal="180" workbookViewId="0">
      <pane xSplit="4" ySplit="3" topLeftCell="F131" activePane="bottomRight" state="frozen"/>
      <selection pane="topRight" activeCell="E1" sqref="E1"/>
      <selection pane="bottomLeft" activeCell="A4" sqref="A4"/>
      <selection pane="bottomRight" activeCell="A131" sqref="A131:XFD131"/>
    </sheetView>
  </sheetViews>
  <sheetFormatPr defaultColWidth="11.77734375" defaultRowHeight="14.4" x14ac:dyDescent="0.3"/>
  <cols>
    <col min="1" max="3" width="1.33203125" style="1" customWidth="1"/>
    <col min="4" max="4" width="78.33203125" bestFit="1" customWidth="1"/>
    <col min="5" max="6" width="12.77734375" customWidth="1"/>
    <col min="7" max="7" width="2.77734375" customWidth="1"/>
  </cols>
  <sheetData>
    <row r="1" spans="1:15" ht="32.4" x14ac:dyDescent="0.6">
      <c r="A1" s="8" t="s">
        <v>155</v>
      </c>
      <c r="B1" s="9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5" ht="19.8" x14ac:dyDescent="0.4">
      <c r="A2" s="11" t="s">
        <v>153</v>
      </c>
      <c r="B2" s="9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5" x14ac:dyDescent="0.3">
      <c r="A3" s="2"/>
      <c r="B3" s="2"/>
      <c r="C3" s="2"/>
      <c r="D3" s="3"/>
      <c r="E3" s="3"/>
      <c r="F3" s="3"/>
      <c r="G3" s="3"/>
      <c r="H3" s="3">
        <v>2020</v>
      </c>
      <c r="I3" s="3">
        <f>H3+1</f>
        <v>2021</v>
      </c>
      <c r="J3" s="3">
        <f t="shared" ref="J3:M3" si="0">I3+1</f>
        <v>2022</v>
      </c>
      <c r="K3" s="3">
        <f t="shared" si="0"/>
        <v>2023</v>
      </c>
      <c r="L3" s="3">
        <f t="shared" si="0"/>
        <v>2024</v>
      </c>
      <c r="M3" s="3">
        <f t="shared" si="0"/>
        <v>2025</v>
      </c>
    </row>
    <row r="4" spans="1:15" x14ac:dyDescent="0.3">
      <c r="A4" s="2" t="s">
        <v>154</v>
      </c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O4" s="4"/>
    </row>
    <row r="6" spans="1:15" ht="15" customHeight="1" x14ac:dyDescent="0.3">
      <c r="D6" t="s">
        <v>6</v>
      </c>
      <c r="H6">
        <v>11443.99</v>
      </c>
      <c r="I6">
        <v>12883.04</v>
      </c>
      <c r="J6">
        <v>13944.67</v>
      </c>
      <c r="K6">
        <v>15984.9</v>
      </c>
      <c r="L6">
        <v>16546.21</v>
      </c>
      <c r="M6">
        <v>17535.02</v>
      </c>
    </row>
    <row r="7" spans="1:15" x14ac:dyDescent="0.3">
      <c r="D7" t="s">
        <v>7</v>
      </c>
      <c r="H7">
        <v>155.56</v>
      </c>
      <c r="I7">
        <v>253.1</v>
      </c>
      <c r="J7">
        <v>191.59</v>
      </c>
      <c r="K7">
        <v>315.64999999999998</v>
      </c>
      <c r="L7">
        <v>223.06</v>
      </c>
      <c r="M7">
        <v>407.65</v>
      </c>
    </row>
    <row r="8" spans="1:15" ht="15" customHeight="1" x14ac:dyDescent="0.3">
      <c r="D8" s="5" t="s">
        <v>8</v>
      </c>
      <c r="E8" s="5"/>
      <c r="F8" s="5"/>
      <c r="G8" s="5"/>
      <c r="H8" s="5">
        <v>11599.55</v>
      </c>
      <c r="I8" s="5">
        <v>13136.14</v>
      </c>
      <c r="J8" s="5">
        <v>14136.26</v>
      </c>
      <c r="K8" s="5">
        <v>16300.55</v>
      </c>
      <c r="L8" s="5">
        <v>16769.27</v>
      </c>
      <c r="M8" s="5">
        <v>17942.669999999998</v>
      </c>
    </row>
    <row r="9" spans="1:15" ht="15" customHeight="1" x14ac:dyDescent="0.3">
      <c r="D9" t="s">
        <v>9</v>
      </c>
      <c r="H9">
        <v>279.39999999999998</v>
      </c>
      <c r="I9">
        <v>312.87</v>
      </c>
      <c r="J9">
        <v>222.83</v>
      </c>
      <c r="K9">
        <v>215.86</v>
      </c>
      <c r="L9">
        <v>214.18</v>
      </c>
      <c r="M9">
        <v>227.09</v>
      </c>
    </row>
    <row r="10" spans="1:15" ht="15" customHeight="1" x14ac:dyDescent="0.3">
      <c r="D10" s="5" t="s">
        <v>10</v>
      </c>
      <c r="E10" s="5"/>
      <c r="F10" s="5"/>
      <c r="G10" s="5"/>
      <c r="H10" s="5">
        <v>11878.95</v>
      </c>
      <c r="I10" s="5">
        <v>13449.01</v>
      </c>
      <c r="J10" s="5">
        <v>14359.09</v>
      </c>
      <c r="K10" s="5">
        <v>16516.41</v>
      </c>
      <c r="L10" s="5">
        <v>16983.45</v>
      </c>
      <c r="M10" s="5">
        <v>18169.759999999998</v>
      </c>
    </row>
    <row r="11" spans="1:15" ht="15" customHeight="1" x14ac:dyDescent="0.3">
      <c r="D11" t="s">
        <v>11</v>
      </c>
      <c r="H11">
        <v>5684.98</v>
      </c>
      <c r="I11">
        <v>6502.33</v>
      </c>
      <c r="J11">
        <v>7473.97</v>
      </c>
      <c r="K11">
        <v>8326.7000000000007</v>
      </c>
      <c r="L11">
        <v>8546.89</v>
      </c>
      <c r="M11">
        <v>9859.4500000000007</v>
      </c>
    </row>
    <row r="12" spans="1:15" ht="15" customHeight="1" x14ac:dyDescent="0.3">
      <c r="D12" t="s">
        <v>12</v>
      </c>
      <c r="H12">
        <v>1189.92</v>
      </c>
      <c r="I12">
        <v>1160.8900000000001</v>
      </c>
      <c r="J12">
        <v>1361.59</v>
      </c>
      <c r="K12">
        <v>1337.13</v>
      </c>
      <c r="L12">
        <v>941.48</v>
      </c>
      <c r="M12">
        <v>809.35</v>
      </c>
    </row>
    <row r="13" spans="1:15" ht="15" customHeight="1" x14ac:dyDescent="0.3">
      <c r="D13" t="s">
        <v>13</v>
      </c>
      <c r="H13">
        <v>52.57</v>
      </c>
      <c r="I13">
        <v>-37.119999999999997</v>
      </c>
      <c r="J13">
        <v>-75.260000000000005</v>
      </c>
      <c r="K13">
        <v>-72.53</v>
      </c>
      <c r="L13">
        <v>3.66</v>
      </c>
      <c r="M13">
        <v>-64.75</v>
      </c>
    </row>
    <row r="14" spans="1:15" ht="15" customHeight="1" x14ac:dyDescent="0.3">
      <c r="D14" t="s">
        <v>14</v>
      </c>
      <c r="H14">
        <v>486.69</v>
      </c>
      <c r="I14">
        <v>527.38</v>
      </c>
      <c r="J14">
        <v>542.26</v>
      </c>
      <c r="K14">
        <v>658.38</v>
      </c>
      <c r="L14">
        <v>708.7</v>
      </c>
      <c r="M14">
        <v>704.59</v>
      </c>
    </row>
    <row r="15" spans="1:15" ht="15" customHeight="1" x14ac:dyDescent="0.3">
      <c r="D15" t="s">
        <v>15</v>
      </c>
      <c r="H15">
        <v>76.900000000000006</v>
      </c>
      <c r="I15">
        <v>110.9</v>
      </c>
      <c r="J15">
        <v>144.29</v>
      </c>
      <c r="K15">
        <v>169.1</v>
      </c>
      <c r="L15">
        <v>164</v>
      </c>
      <c r="M15">
        <v>138.80000000000001</v>
      </c>
    </row>
    <row r="16" spans="1:15" ht="15" customHeight="1" x14ac:dyDescent="0.3">
      <c r="D16" t="s">
        <v>16</v>
      </c>
      <c r="H16">
        <v>184.81</v>
      </c>
      <c r="I16">
        <v>197.85</v>
      </c>
      <c r="J16">
        <v>200.54</v>
      </c>
      <c r="K16">
        <v>225.96</v>
      </c>
      <c r="L16">
        <v>300.7</v>
      </c>
      <c r="M16">
        <v>313.33999999999997</v>
      </c>
    </row>
    <row r="17" spans="1:29" x14ac:dyDescent="0.3">
      <c r="D17" t="s">
        <v>17</v>
      </c>
      <c r="H17">
        <v>2342.21</v>
      </c>
      <c r="I17">
        <v>2473.37</v>
      </c>
      <c r="J17">
        <v>2632.31</v>
      </c>
      <c r="K17">
        <v>3219.91</v>
      </c>
      <c r="L17">
        <v>3398.46</v>
      </c>
      <c r="M17">
        <v>3446.88</v>
      </c>
    </row>
    <row r="18" spans="1:29" x14ac:dyDescent="0.3">
      <c r="D18" s="3" t="s">
        <v>18</v>
      </c>
      <c r="E18" s="3"/>
      <c r="F18" s="3"/>
      <c r="G18" s="3"/>
      <c r="H18" s="3">
        <v>10018.08</v>
      </c>
      <c r="I18" s="3">
        <v>10935.6</v>
      </c>
      <c r="J18" s="3">
        <v>12279.58</v>
      </c>
      <c r="K18" s="3">
        <v>13864.65</v>
      </c>
      <c r="L18" s="3">
        <v>14063.89</v>
      </c>
      <c r="M18" s="3">
        <v>15207.66</v>
      </c>
    </row>
    <row r="19" spans="1:29" x14ac:dyDescent="0.3">
      <c r="D19" s="4" t="s">
        <v>19</v>
      </c>
      <c r="E19" s="4"/>
      <c r="F19" s="4"/>
      <c r="G19" s="4"/>
      <c r="H19" s="4">
        <v>1860.87</v>
      </c>
      <c r="I19" s="4">
        <v>2513.41</v>
      </c>
      <c r="J19" s="4">
        <v>2079.5100000000002</v>
      </c>
      <c r="K19" s="4">
        <v>2651.76</v>
      </c>
      <c r="L19" s="4">
        <v>2919.56</v>
      </c>
      <c r="M19" s="4">
        <v>2962.1</v>
      </c>
    </row>
    <row r="20" spans="1:29" x14ac:dyDescent="0.3">
      <c r="D20" s="31" t="s">
        <v>20</v>
      </c>
      <c r="E20" s="31"/>
      <c r="F20" s="31"/>
      <c r="G20" s="31"/>
      <c r="H20" s="31">
        <v>0.44</v>
      </c>
      <c r="I20" s="31">
        <v>0.81</v>
      </c>
      <c r="J20" s="31">
        <v>-0.2</v>
      </c>
      <c r="K20" s="31">
        <v>5.41</v>
      </c>
      <c r="L20" s="31">
        <v>-3.19</v>
      </c>
      <c r="M20" s="31">
        <v>-10.74</v>
      </c>
    </row>
    <row r="21" spans="1:29" x14ac:dyDescent="0.3">
      <c r="D21" s="4" t="s">
        <v>21</v>
      </c>
      <c r="E21" s="4"/>
      <c r="F21" s="4"/>
      <c r="G21" s="4"/>
      <c r="H21" s="4">
        <v>1861.31</v>
      </c>
      <c r="I21" s="4">
        <v>2514.2199999999998</v>
      </c>
      <c r="J21" s="4">
        <v>2079.31</v>
      </c>
      <c r="K21" s="4">
        <v>2657.17</v>
      </c>
      <c r="L21" s="4">
        <v>2916.37</v>
      </c>
      <c r="M21" s="4">
        <v>2951.36</v>
      </c>
    </row>
    <row r="22" spans="1:29" x14ac:dyDescent="0.3">
      <c r="D22" t="s">
        <v>22</v>
      </c>
      <c r="H22">
        <v>17.010000000000002</v>
      </c>
      <c r="I22">
        <v>0.61</v>
      </c>
      <c r="J22">
        <v>0.98</v>
      </c>
      <c r="K22">
        <v>-375.6</v>
      </c>
      <c r="L22">
        <v>2.9</v>
      </c>
      <c r="M22">
        <v>24.79</v>
      </c>
    </row>
    <row r="23" spans="1:29" x14ac:dyDescent="0.3">
      <c r="D23" s="5" t="s">
        <v>23</v>
      </c>
      <c r="E23" s="5"/>
      <c r="F23" s="5"/>
      <c r="G23" s="5"/>
      <c r="H23" s="5">
        <v>1844.3</v>
      </c>
      <c r="I23" s="5">
        <v>2513.61</v>
      </c>
      <c r="J23" s="5">
        <v>2078.33</v>
      </c>
      <c r="K23" s="5">
        <v>3032.77</v>
      </c>
      <c r="L23" s="5">
        <v>2913.47</v>
      </c>
      <c r="M23" s="5">
        <v>2926.57</v>
      </c>
    </row>
    <row r="24" spans="1:29" x14ac:dyDescent="0.3">
      <c r="D24" t="s">
        <v>24</v>
      </c>
      <c r="H24">
        <v>447.69</v>
      </c>
      <c r="I24">
        <v>657.12</v>
      </c>
      <c r="J24">
        <v>612.24</v>
      </c>
      <c r="K24">
        <v>720.97</v>
      </c>
      <c r="L24">
        <v>765.69</v>
      </c>
      <c r="M24">
        <v>741.68</v>
      </c>
    </row>
    <row r="25" spans="1:29" x14ac:dyDescent="0.3">
      <c r="D25" t="s">
        <v>25</v>
      </c>
      <c r="H25">
        <v>3.01</v>
      </c>
      <c r="I25">
        <v>5.9</v>
      </c>
      <c r="J25">
        <v>-49.89</v>
      </c>
      <c r="K25">
        <v>-4.5199999999999996</v>
      </c>
      <c r="L25">
        <v>13.56</v>
      </c>
      <c r="M25">
        <v>7.03</v>
      </c>
    </row>
    <row r="26" spans="1:29" x14ac:dyDescent="0.3">
      <c r="D26" s="4" t="s">
        <v>26</v>
      </c>
      <c r="E26" s="4"/>
      <c r="F26" s="4"/>
      <c r="G26" s="4"/>
      <c r="H26" s="4">
        <v>450.7</v>
      </c>
      <c r="I26" s="4">
        <v>663.02</v>
      </c>
      <c r="J26" s="4">
        <v>562.35</v>
      </c>
      <c r="K26" s="4">
        <v>716.45</v>
      </c>
      <c r="L26" s="4">
        <v>779.25</v>
      </c>
      <c r="M26" s="4">
        <v>748.71</v>
      </c>
    </row>
    <row r="27" spans="1:29" x14ac:dyDescent="0.3">
      <c r="D27" s="5" t="s">
        <v>27</v>
      </c>
      <c r="E27" s="5"/>
      <c r="F27" s="5"/>
      <c r="G27" s="5"/>
      <c r="H27" s="5">
        <v>1393.6</v>
      </c>
      <c r="I27" s="5">
        <v>1850.59</v>
      </c>
      <c r="J27" s="5">
        <v>1515.98</v>
      </c>
      <c r="K27" s="5">
        <v>2316.3200000000002</v>
      </c>
      <c r="L27" s="5">
        <v>2134.2199999999998</v>
      </c>
      <c r="M27" s="5">
        <v>2177.86</v>
      </c>
    </row>
    <row r="29" spans="1:29" x14ac:dyDescent="0.3">
      <c r="A29" s="2" t="s">
        <v>156</v>
      </c>
      <c r="B29" s="2"/>
      <c r="C29" s="2"/>
      <c r="D29" s="3"/>
      <c r="E29" s="3"/>
      <c r="F29" s="3"/>
      <c r="G29" s="3"/>
      <c r="H29" s="3">
        <v>2020</v>
      </c>
      <c r="I29" s="3">
        <f>H29+1</f>
        <v>2021</v>
      </c>
      <c r="J29" s="3">
        <f t="shared" ref="J29:M29" si="1">I29+1</f>
        <v>2022</v>
      </c>
      <c r="K29" s="3">
        <f t="shared" si="1"/>
        <v>2023</v>
      </c>
      <c r="L29" s="3">
        <f t="shared" si="1"/>
        <v>2024</v>
      </c>
      <c r="M29" s="3">
        <f t="shared" si="1"/>
        <v>2025</v>
      </c>
    </row>
    <row r="30" spans="1:29" ht="15.6" x14ac:dyDescent="0.3">
      <c r="D30" s="6" t="s">
        <v>148</v>
      </c>
      <c r="H30" s="7"/>
      <c r="I30" s="7"/>
      <c r="J30" s="7"/>
      <c r="K30" s="7"/>
      <c r="L30" s="7"/>
    </row>
    <row r="31" spans="1:29" x14ac:dyDescent="0.3">
      <c r="D31" s="4" t="s">
        <v>28</v>
      </c>
      <c r="X31" t="s">
        <v>0</v>
      </c>
      <c r="Y31" t="s">
        <v>1</v>
      </c>
      <c r="Z31" t="s">
        <v>2</v>
      </c>
      <c r="AA31" t="s">
        <v>3</v>
      </c>
      <c r="AB31" t="s">
        <v>4</v>
      </c>
      <c r="AC31" t="s">
        <v>5</v>
      </c>
    </row>
    <row r="32" spans="1:29" x14ac:dyDescent="0.3">
      <c r="D32" s="4" t="s">
        <v>29</v>
      </c>
    </row>
    <row r="33" spans="4:13" x14ac:dyDescent="0.3">
      <c r="D33" t="s">
        <v>30</v>
      </c>
      <c r="H33">
        <v>1716.37</v>
      </c>
      <c r="I33">
        <v>1634.3</v>
      </c>
      <c r="J33">
        <v>1584.05</v>
      </c>
      <c r="K33">
        <v>2472.19</v>
      </c>
      <c r="L33">
        <v>2602.94</v>
      </c>
      <c r="M33">
        <v>2734.61</v>
      </c>
    </row>
    <row r="34" spans="4:13" x14ac:dyDescent="0.3">
      <c r="D34" t="s">
        <v>31</v>
      </c>
      <c r="H34">
        <v>39.549999999999997</v>
      </c>
      <c r="I34">
        <v>116.52</v>
      </c>
      <c r="J34">
        <v>535.67999999999995</v>
      </c>
      <c r="K34">
        <v>105.08</v>
      </c>
      <c r="L34">
        <v>187.54</v>
      </c>
      <c r="M34">
        <v>89.2</v>
      </c>
    </row>
    <row r="35" spans="4:13" x14ac:dyDescent="0.3">
      <c r="D35" t="s">
        <v>32</v>
      </c>
      <c r="H35">
        <v>14.47</v>
      </c>
      <c r="I35">
        <v>14.21</v>
      </c>
      <c r="J35">
        <v>13.95</v>
      </c>
      <c r="K35">
        <v>40.630000000000003</v>
      </c>
      <c r="L35">
        <v>27.48</v>
      </c>
      <c r="M35">
        <v>28.9</v>
      </c>
    </row>
    <row r="36" spans="4:13" x14ac:dyDescent="0.3">
      <c r="D36" t="s">
        <v>33</v>
      </c>
      <c r="H36">
        <v>138.97</v>
      </c>
      <c r="I36">
        <v>135.9</v>
      </c>
      <c r="J36">
        <v>139.61000000000001</v>
      </c>
      <c r="K36">
        <v>128.16</v>
      </c>
      <c r="L36">
        <v>129.82</v>
      </c>
      <c r="M36">
        <v>132.78</v>
      </c>
    </row>
    <row r="37" spans="4:13" x14ac:dyDescent="0.3">
      <c r="D37" t="s">
        <v>34</v>
      </c>
      <c r="H37">
        <v>8.3699999999999992</v>
      </c>
      <c r="I37">
        <v>8.5399999999999991</v>
      </c>
      <c r="J37">
        <v>15.6</v>
      </c>
      <c r="K37">
        <v>14.24</v>
      </c>
      <c r="L37">
        <v>10.9</v>
      </c>
      <c r="M37">
        <v>7.51</v>
      </c>
    </row>
    <row r="38" spans="4:13" x14ac:dyDescent="0.3">
      <c r="D38" t="s">
        <v>35</v>
      </c>
      <c r="H38">
        <v>1.48</v>
      </c>
      <c r="I38">
        <v>2.29</v>
      </c>
      <c r="J38">
        <v>2.09</v>
      </c>
      <c r="K38">
        <v>495.16</v>
      </c>
      <c r="L38">
        <v>494.36</v>
      </c>
      <c r="M38">
        <v>483.62</v>
      </c>
    </row>
    <row r="39" spans="4:13" x14ac:dyDescent="0.3">
      <c r="D39" t="s">
        <v>36</v>
      </c>
    </row>
    <row r="40" spans="4:13" x14ac:dyDescent="0.3">
      <c r="D40" t="s">
        <v>37</v>
      </c>
      <c r="H40">
        <v>1882.98</v>
      </c>
      <c r="I40">
        <v>1385.15</v>
      </c>
      <c r="J40">
        <v>926.55</v>
      </c>
      <c r="K40">
        <v>1028.0899999999999</v>
      </c>
      <c r="L40">
        <v>575.85</v>
      </c>
      <c r="M40">
        <v>1270.17</v>
      </c>
    </row>
    <row r="41" spans="4:13" x14ac:dyDescent="0.3">
      <c r="D41" t="s">
        <v>38</v>
      </c>
      <c r="H41">
        <v>202.95</v>
      </c>
      <c r="I41">
        <v>74.58</v>
      </c>
      <c r="J41">
        <v>100</v>
      </c>
      <c r="K41">
        <v>150</v>
      </c>
      <c r="L41">
        <v>0</v>
      </c>
      <c r="M41">
        <v>25</v>
      </c>
    </row>
    <row r="42" spans="4:13" x14ac:dyDescent="0.3">
      <c r="D42" t="s">
        <v>39</v>
      </c>
      <c r="H42">
        <v>31.33</v>
      </c>
      <c r="I42">
        <v>30.13</v>
      </c>
      <c r="J42">
        <v>31.8</v>
      </c>
      <c r="K42">
        <v>23.57</v>
      </c>
      <c r="L42">
        <v>25.5</v>
      </c>
      <c r="M42">
        <v>28.19</v>
      </c>
    </row>
    <row r="43" spans="4:13" x14ac:dyDescent="0.3">
      <c r="D43" t="s">
        <v>40</v>
      </c>
      <c r="H43">
        <v>19.559999999999999</v>
      </c>
      <c r="I43">
        <v>9.66</v>
      </c>
      <c r="J43">
        <v>51.67</v>
      </c>
      <c r="K43">
        <v>57.25</v>
      </c>
      <c r="L43">
        <v>43.88</v>
      </c>
      <c r="M43">
        <v>36.65</v>
      </c>
    </row>
    <row r="44" spans="4:13" x14ac:dyDescent="0.3">
      <c r="D44" t="s">
        <v>41</v>
      </c>
      <c r="H44">
        <v>68.77</v>
      </c>
      <c r="I44">
        <v>71.84</v>
      </c>
      <c r="J44">
        <v>44.93</v>
      </c>
      <c r="K44">
        <v>43.64</v>
      </c>
      <c r="L44">
        <v>67.95</v>
      </c>
      <c r="M44">
        <v>46.26</v>
      </c>
    </row>
    <row r="45" spans="4:13" x14ac:dyDescent="0.3">
      <c r="D45" t="s">
        <v>42</v>
      </c>
      <c r="H45">
        <v>42.46</v>
      </c>
      <c r="I45">
        <v>105.98</v>
      </c>
      <c r="J45">
        <v>99.18</v>
      </c>
      <c r="K45">
        <v>48.56</v>
      </c>
      <c r="L45">
        <v>58.68</v>
      </c>
      <c r="M45">
        <v>42.04</v>
      </c>
    </row>
    <row r="46" spans="4:13" x14ac:dyDescent="0.3">
      <c r="D46" s="5" t="s">
        <v>43</v>
      </c>
      <c r="E46" s="5"/>
      <c r="F46" s="5"/>
      <c r="G46" s="5"/>
      <c r="H46" s="5">
        <v>4167.26</v>
      </c>
      <c r="I46" s="5">
        <v>3589.1</v>
      </c>
      <c r="J46" s="5">
        <v>3545.11</v>
      </c>
      <c r="K46" s="5">
        <v>4564.57</v>
      </c>
      <c r="L46" s="5">
        <v>4224.8999999999996</v>
      </c>
      <c r="M46" s="5">
        <v>4924.87</v>
      </c>
    </row>
    <row r="47" spans="4:13" x14ac:dyDescent="0.3">
      <c r="D47" s="4" t="s">
        <v>44</v>
      </c>
    </row>
    <row r="48" spans="4:13" x14ac:dyDescent="0.3">
      <c r="D48" t="s">
        <v>45</v>
      </c>
      <c r="H48">
        <v>740.96</v>
      </c>
      <c r="I48">
        <v>1091.49</v>
      </c>
      <c r="J48">
        <v>1367.49</v>
      </c>
      <c r="K48">
        <v>1193.18</v>
      </c>
      <c r="L48">
        <v>1181.22</v>
      </c>
      <c r="M48">
        <v>1236.51</v>
      </c>
    </row>
    <row r="49" spans="4:13" x14ac:dyDescent="0.3">
      <c r="D49" t="s">
        <v>46</v>
      </c>
    </row>
    <row r="50" spans="4:13" x14ac:dyDescent="0.3">
      <c r="D50" t="s">
        <v>37</v>
      </c>
      <c r="H50">
        <v>1008.77</v>
      </c>
      <c r="I50">
        <v>1393.25</v>
      </c>
      <c r="J50">
        <v>833.73</v>
      </c>
      <c r="K50">
        <v>1800.99</v>
      </c>
      <c r="L50">
        <v>1696.51</v>
      </c>
      <c r="M50">
        <v>1111.6400000000001</v>
      </c>
    </row>
    <row r="51" spans="4:13" x14ac:dyDescent="0.3">
      <c r="D51" t="s">
        <v>47</v>
      </c>
      <c r="H51">
        <v>320.36</v>
      </c>
      <c r="I51">
        <v>257.27</v>
      </c>
      <c r="J51">
        <v>331.93</v>
      </c>
      <c r="K51">
        <v>328.94</v>
      </c>
      <c r="L51">
        <v>393.33</v>
      </c>
      <c r="M51">
        <v>448.61</v>
      </c>
    </row>
    <row r="52" spans="4:13" x14ac:dyDescent="0.3">
      <c r="D52" t="s">
        <v>48</v>
      </c>
      <c r="H52">
        <v>81.23</v>
      </c>
      <c r="I52">
        <v>142.74</v>
      </c>
      <c r="J52">
        <v>117.99</v>
      </c>
      <c r="K52">
        <v>102.38</v>
      </c>
      <c r="L52">
        <v>322.8</v>
      </c>
      <c r="M52">
        <v>132.72</v>
      </c>
    </row>
    <row r="53" spans="4:13" x14ac:dyDescent="0.3">
      <c r="D53" t="s">
        <v>49</v>
      </c>
      <c r="H53">
        <v>41.62</v>
      </c>
      <c r="I53">
        <v>68.599999999999994</v>
      </c>
      <c r="J53">
        <v>66.91</v>
      </c>
      <c r="K53">
        <v>95.6</v>
      </c>
      <c r="L53">
        <v>123.55</v>
      </c>
      <c r="M53">
        <v>179.7</v>
      </c>
    </row>
    <row r="54" spans="4:13" x14ac:dyDescent="0.3">
      <c r="D54" t="s">
        <v>50</v>
      </c>
      <c r="H54">
        <v>1110.1099999999999</v>
      </c>
      <c r="I54">
        <v>946.56</v>
      </c>
      <c r="J54">
        <v>698</v>
      </c>
      <c r="K54">
        <v>560</v>
      </c>
      <c r="L54">
        <v>460</v>
      </c>
      <c r="M54">
        <v>50</v>
      </c>
    </row>
    <row r="55" spans="4:13" x14ac:dyDescent="0.3">
      <c r="D55" t="s">
        <v>51</v>
      </c>
      <c r="H55">
        <v>229.75</v>
      </c>
      <c r="I55">
        <v>397.76</v>
      </c>
      <c r="J55">
        <v>428.03</v>
      </c>
      <c r="K55">
        <v>451.96</v>
      </c>
      <c r="L55">
        <v>531.13</v>
      </c>
      <c r="M55">
        <v>630.46</v>
      </c>
    </row>
    <row r="56" spans="4:13" x14ac:dyDescent="0.3">
      <c r="D56" t="s">
        <v>52</v>
      </c>
      <c r="H56">
        <v>142.16999999999999</v>
      </c>
      <c r="I56">
        <v>122.01</v>
      </c>
      <c r="J56">
        <v>138.22</v>
      </c>
      <c r="K56">
        <v>180.74</v>
      </c>
      <c r="L56">
        <v>133.71</v>
      </c>
      <c r="M56">
        <v>123.98</v>
      </c>
    </row>
    <row r="57" spans="4:13" x14ac:dyDescent="0.3">
      <c r="D57" t="s">
        <v>53</v>
      </c>
      <c r="H57">
        <v>0</v>
      </c>
      <c r="I57">
        <v>0</v>
      </c>
      <c r="J57">
        <v>0</v>
      </c>
      <c r="K57">
        <v>32.36</v>
      </c>
      <c r="L57">
        <v>6.41</v>
      </c>
      <c r="M57">
        <v>0</v>
      </c>
    </row>
    <row r="58" spans="4:13" x14ac:dyDescent="0.3">
      <c r="D58" s="5" t="s">
        <v>54</v>
      </c>
      <c r="E58" s="5"/>
      <c r="F58" s="5"/>
      <c r="G58" s="5"/>
      <c r="H58" s="5">
        <v>3674.97</v>
      </c>
      <c r="I58" s="5">
        <v>4419.68</v>
      </c>
      <c r="J58" s="5">
        <v>3982.3</v>
      </c>
      <c r="K58" s="5">
        <v>4746.2299999999996</v>
      </c>
      <c r="L58" s="5">
        <v>4848.66</v>
      </c>
      <c r="M58" s="5">
        <v>3913.68</v>
      </c>
    </row>
    <row r="59" spans="4:13" ht="15" thickBot="1" x14ac:dyDescent="0.35">
      <c r="D59" s="34" t="s">
        <v>55</v>
      </c>
      <c r="E59" s="34"/>
      <c r="F59" s="34"/>
      <c r="G59" s="34"/>
      <c r="H59" s="34">
        <v>7842.23</v>
      </c>
      <c r="I59" s="34">
        <v>8008.78</v>
      </c>
      <c r="J59" s="34">
        <v>7527.41</v>
      </c>
      <c r="K59" s="34">
        <v>9352.7199999999993</v>
      </c>
      <c r="L59" s="34">
        <v>9073.56</v>
      </c>
      <c r="M59" s="34">
        <v>8838.5499999999993</v>
      </c>
    </row>
    <row r="60" spans="4:13" ht="15" thickTop="1" x14ac:dyDescent="0.3">
      <c r="D60" s="4" t="s">
        <v>56</v>
      </c>
    </row>
    <row r="61" spans="4:13" x14ac:dyDescent="0.3">
      <c r="D61" s="4" t="s">
        <v>57</v>
      </c>
    </row>
    <row r="62" spans="4:13" x14ac:dyDescent="0.3">
      <c r="D62" t="s">
        <v>58</v>
      </c>
      <c r="H62">
        <v>24.05</v>
      </c>
      <c r="I62">
        <v>24.09</v>
      </c>
      <c r="J62">
        <v>24.09</v>
      </c>
      <c r="K62">
        <v>24.09</v>
      </c>
      <c r="L62">
        <v>24.09</v>
      </c>
      <c r="M62">
        <v>24.09</v>
      </c>
    </row>
    <row r="63" spans="4:13" x14ac:dyDescent="0.3">
      <c r="D63" t="s">
        <v>59</v>
      </c>
      <c r="H63">
        <v>4378.78</v>
      </c>
      <c r="I63">
        <v>3523.57</v>
      </c>
      <c r="J63">
        <v>2534.0100000000002</v>
      </c>
      <c r="K63">
        <v>3510.18</v>
      </c>
      <c r="L63">
        <v>3917.43</v>
      </c>
      <c r="M63">
        <v>4331.63</v>
      </c>
    </row>
    <row r="64" spans="4:13" x14ac:dyDescent="0.3">
      <c r="D64" t="s">
        <v>60</v>
      </c>
      <c r="H64">
        <v>4402.83</v>
      </c>
      <c r="I64">
        <v>3547.66</v>
      </c>
      <c r="J64">
        <v>2558.1</v>
      </c>
      <c r="K64">
        <v>3534.27</v>
      </c>
      <c r="L64">
        <v>3941.52</v>
      </c>
      <c r="M64">
        <v>4355.72</v>
      </c>
    </row>
    <row r="65" spans="4:13" x14ac:dyDescent="0.3">
      <c r="D65" t="s">
        <v>61</v>
      </c>
      <c r="H65">
        <v>35.65</v>
      </c>
      <c r="I65">
        <v>36.340000000000003</v>
      </c>
      <c r="J65">
        <v>27.5</v>
      </c>
      <c r="K65">
        <v>30.23</v>
      </c>
      <c r="L65">
        <v>24.5</v>
      </c>
      <c r="M65">
        <v>25.6</v>
      </c>
    </row>
    <row r="66" spans="4:13" x14ac:dyDescent="0.3">
      <c r="D66" s="5" t="s">
        <v>62</v>
      </c>
      <c r="E66" s="5"/>
      <c r="F66" s="5"/>
      <c r="G66" s="5"/>
      <c r="H66" s="5">
        <v>4438.4799999999996</v>
      </c>
      <c r="I66" s="5">
        <v>3584</v>
      </c>
      <c r="J66" s="5">
        <v>2585.6</v>
      </c>
      <c r="K66" s="5">
        <v>3564.5</v>
      </c>
      <c r="L66" s="5">
        <v>3966.02</v>
      </c>
      <c r="M66" s="5">
        <v>4381.32</v>
      </c>
    </row>
    <row r="67" spans="4:13" x14ac:dyDescent="0.3">
      <c r="D67" s="4" t="s">
        <v>63</v>
      </c>
    </row>
    <row r="68" spans="4:13" x14ac:dyDescent="0.3">
      <c r="D68" s="4" t="s">
        <v>64</v>
      </c>
    </row>
    <row r="69" spans="4:13" x14ac:dyDescent="0.3">
      <c r="D69" t="s">
        <v>65</v>
      </c>
    </row>
    <row r="70" spans="4:13" x14ac:dyDescent="0.3">
      <c r="D70" t="s">
        <v>66</v>
      </c>
      <c r="H70">
        <v>766.06</v>
      </c>
      <c r="I70">
        <v>747.75</v>
      </c>
      <c r="J70">
        <v>706.99</v>
      </c>
      <c r="K70">
        <v>1551.8</v>
      </c>
      <c r="L70">
        <v>904.72</v>
      </c>
      <c r="M70">
        <v>712.94</v>
      </c>
    </row>
    <row r="71" spans="4:13" x14ac:dyDescent="0.3">
      <c r="D71" t="s">
        <v>67</v>
      </c>
      <c r="H71">
        <v>0</v>
      </c>
      <c r="I71">
        <v>0</v>
      </c>
      <c r="J71">
        <v>13.76</v>
      </c>
      <c r="K71">
        <v>14.36</v>
      </c>
      <c r="L71">
        <v>20.13</v>
      </c>
      <c r="M71">
        <v>19.45</v>
      </c>
    </row>
    <row r="72" spans="4:13" x14ac:dyDescent="0.3">
      <c r="D72" t="s">
        <v>68</v>
      </c>
      <c r="H72">
        <v>46.54</v>
      </c>
      <c r="I72">
        <v>54.07</v>
      </c>
      <c r="J72">
        <v>52.64</v>
      </c>
      <c r="K72">
        <v>60.15</v>
      </c>
      <c r="L72">
        <v>65.66</v>
      </c>
      <c r="M72">
        <v>72.209999999999994</v>
      </c>
    </row>
    <row r="73" spans="4:13" x14ac:dyDescent="0.3">
      <c r="D73" t="s">
        <v>69</v>
      </c>
      <c r="H73">
        <v>12.69</v>
      </c>
      <c r="I73">
        <v>8.69</v>
      </c>
      <c r="J73">
        <v>0.81</v>
      </c>
      <c r="K73">
        <v>1.87</v>
      </c>
      <c r="L73">
        <v>2.06</v>
      </c>
      <c r="M73">
        <v>1.8</v>
      </c>
    </row>
    <row r="74" spans="4:13" x14ac:dyDescent="0.3">
      <c r="D74" t="s">
        <v>70</v>
      </c>
      <c r="H74">
        <v>0</v>
      </c>
      <c r="I74">
        <v>0</v>
      </c>
      <c r="J74">
        <v>20.47</v>
      </c>
      <c r="K74">
        <v>25.64</v>
      </c>
      <c r="L74">
        <v>30.56</v>
      </c>
      <c r="M74">
        <v>32.57</v>
      </c>
    </row>
    <row r="75" spans="4:13" x14ac:dyDescent="0.3">
      <c r="D75" s="5" t="s">
        <v>71</v>
      </c>
      <c r="E75" s="5"/>
      <c r="F75" s="5"/>
      <c r="G75" s="5"/>
      <c r="H75" s="5">
        <v>825.29</v>
      </c>
      <c r="I75" s="5">
        <v>810.51</v>
      </c>
      <c r="J75" s="5">
        <v>794.67</v>
      </c>
      <c r="K75" s="5">
        <v>1651.95</v>
      </c>
      <c r="L75" s="5">
        <v>1023.13</v>
      </c>
      <c r="M75" s="5">
        <v>838.97</v>
      </c>
    </row>
    <row r="76" spans="4:13" x14ac:dyDescent="0.3">
      <c r="D76" t="s">
        <v>72</v>
      </c>
    </row>
    <row r="77" spans="4:13" x14ac:dyDescent="0.3">
      <c r="D77" s="4" t="s">
        <v>73</v>
      </c>
    </row>
    <row r="78" spans="4:13" x14ac:dyDescent="0.3">
      <c r="D78" t="s">
        <v>66</v>
      </c>
      <c r="H78">
        <v>747.99</v>
      </c>
      <c r="I78">
        <v>1339.42</v>
      </c>
      <c r="J78">
        <v>1758.55</v>
      </c>
      <c r="K78">
        <v>1428.71</v>
      </c>
      <c r="L78">
        <v>1136.49</v>
      </c>
      <c r="M78">
        <v>511.83</v>
      </c>
    </row>
    <row r="79" spans="4:13" x14ac:dyDescent="0.3">
      <c r="D79" t="s">
        <v>67</v>
      </c>
      <c r="H79">
        <v>0</v>
      </c>
      <c r="I79">
        <v>0</v>
      </c>
      <c r="J79">
        <v>1.9</v>
      </c>
      <c r="K79">
        <v>2.5</v>
      </c>
      <c r="L79">
        <v>3.62</v>
      </c>
      <c r="M79">
        <v>2.29</v>
      </c>
    </row>
    <row r="80" spans="4:13" x14ac:dyDescent="0.3">
      <c r="D80" t="s">
        <v>74</v>
      </c>
    </row>
    <row r="81" spans="1:13" x14ac:dyDescent="0.3">
      <c r="D81" t="s">
        <v>75</v>
      </c>
      <c r="H81">
        <v>8.5299999999999994</v>
      </c>
      <c r="I81">
        <v>28.44</v>
      </c>
      <c r="J81">
        <v>62.76</v>
      </c>
      <c r="K81">
        <v>43.92</v>
      </c>
      <c r="L81">
        <v>30.83</v>
      </c>
      <c r="M81">
        <v>27.83</v>
      </c>
    </row>
    <row r="82" spans="1:13" x14ac:dyDescent="0.3">
      <c r="D82" t="s">
        <v>76</v>
      </c>
      <c r="H82">
        <v>1038.47</v>
      </c>
      <c r="I82">
        <v>1286.31</v>
      </c>
      <c r="J82">
        <v>1260.05</v>
      </c>
      <c r="K82">
        <v>1404.89</v>
      </c>
      <c r="L82">
        <v>1596.65</v>
      </c>
      <c r="M82">
        <v>1724.4</v>
      </c>
    </row>
    <row r="83" spans="1:13" x14ac:dyDescent="0.3">
      <c r="D83" t="s">
        <v>77</v>
      </c>
      <c r="H83">
        <v>311.91000000000003</v>
      </c>
      <c r="I83">
        <v>356.01</v>
      </c>
      <c r="J83">
        <v>393.96</v>
      </c>
      <c r="K83">
        <v>496.21</v>
      </c>
      <c r="L83">
        <v>497.4</v>
      </c>
      <c r="M83">
        <v>429.34</v>
      </c>
    </row>
    <row r="84" spans="1:13" x14ac:dyDescent="0.3">
      <c r="D84" t="s">
        <v>78</v>
      </c>
      <c r="H84">
        <v>150.08000000000001</v>
      </c>
      <c r="I84">
        <v>140.54</v>
      </c>
      <c r="J84">
        <v>130.72999999999999</v>
      </c>
      <c r="K84">
        <v>176.34</v>
      </c>
      <c r="L84">
        <v>167.29</v>
      </c>
      <c r="M84">
        <v>194.7</v>
      </c>
    </row>
    <row r="85" spans="1:13" x14ac:dyDescent="0.3">
      <c r="D85" t="s">
        <v>79</v>
      </c>
      <c r="H85">
        <v>273.7</v>
      </c>
      <c r="I85">
        <v>387.47</v>
      </c>
      <c r="J85">
        <v>464.64</v>
      </c>
      <c r="K85">
        <v>513.39</v>
      </c>
      <c r="L85">
        <v>559.20000000000005</v>
      </c>
      <c r="M85">
        <v>604.66</v>
      </c>
    </row>
    <row r="86" spans="1:13" x14ac:dyDescent="0.3">
      <c r="D86" t="s">
        <v>80</v>
      </c>
      <c r="H86">
        <v>47.78</v>
      </c>
      <c r="I86">
        <v>76.08</v>
      </c>
      <c r="J86">
        <v>74.55</v>
      </c>
      <c r="K86">
        <v>68.44</v>
      </c>
      <c r="L86">
        <v>92.93</v>
      </c>
      <c r="M86">
        <v>123.21</v>
      </c>
    </row>
    <row r="87" spans="1:13" x14ac:dyDescent="0.3">
      <c r="D87" s="5" t="s">
        <v>81</v>
      </c>
      <c r="E87" s="5"/>
      <c r="F87" s="5"/>
      <c r="G87" s="5"/>
      <c r="H87" s="5">
        <v>2578.46</v>
      </c>
      <c r="I87" s="5">
        <v>3614.27</v>
      </c>
      <c r="J87" s="5">
        <v>4147.1400000000003</v>
      </c>
      <c r="K87" s="5">
        <v>4134.3999999999996</v>
      </c>
      <c r="L87" s="5">
        <v>4084.41</v>
      </c>
      <c r="M87" s="5">
        <v>3618.26</v>
      </c>
    </row>
    <row r="88" spans="1:13" x14ac:dyDescent="0.3">
      <c r="D88" s="4" t="s">
        <v>82</v>
      </c>
      <c r="E88" s="4"/>
      <c r="F88" s="4"/>
      <c r="G88" s="4"/>
      <c r="H88" s="4">
        <v>3403.75</v>
      </c>
      <c r="I88" s="4">
        <v>4424.78</v>
      </c>
      <c r="J88" s="4">
        <v>4941.8100000000004</v>
      </c>
      <c r="K88" s="4">
        <v>5788.22</v>
      </c>
      <c r="L88" s="4">
        <v>5107.54</v>
      </c>
      <c r="M88" s="4">
        <v>4457.2299999999996</v>
      </c>
    </row>
    <row r="89" spans="1:13" x14ac:dyDescent="0.3">
      <c r="D89" s="4" t="s">
        <v>83</v>
      </c>
      <c r="E89" s="4"/>
      <c r="F89" s="4"/>
      <c r="G89" s="4"/>
      <c r="H89" s="4">
        <v>7842.23</v>
      </c>
      <c r="I89" s="4">
        <v>8008.78</v>
      </c>
      <c r="J89" s="4">
        <v>7527.41</v>
      </c>
      <c r="K89" s="4">
        <v>9352.7199999999993</v>
      </c>
      <c r="L89" s="4">
        <v>9073.56</v>
      </c>
      <c r="M89" s="4">
        <v>8838.5499999999993</v>
      </c>
    </row>
    <row r="91" spans="1:13" x14ac:dyDescent="0.3">
      <c r="A91" s="2" t="s">
        <v>157</v>
      </c>
      <c r="B91" s="2"/>
      <c r="C91" s="2"/>
      <c r="D91" s="3"/>
      <c r="E91" s="3"/>
      <c r="F91" s="3"/>
      <c r="G91" s="3"/>
      <c r="H91" s="3">
        <v>2020</v>
      </c>
      <c r="I91" s="3">
        <f>H91+1</f>
        <v>2021</v>
      </c>
      <c r="J91" s="3">
        <f t="shared" ref="J91:M91" si="2">I91+1</f>
        <v>2022</v>
      </c>
      <c r="K91" s="3">
        <f t="shared" si="2"/>
        <v>2023</v>
      </c>
      <c r="L91" s="3">
        <f t="shared" si="2"/>
        <v>2024</v>
      </c>
      <c r="M91" s="3">
        <f t="shared" si="2"/>
        <v>2025</v>
      </c>
    </row>
    <row r="92" spans="1:13" x14ac:dyDescent="0.3">
      <c r="D92" s="4" t="s">
        <v>84</v>
      </c>
    </row>
    <row r="93" spans="1:13" x14ac:dyDescent="0.3">
      <c r="D93" s="4" t="s">
        <v>85</v>
      </c>
    </row>
    <row r="94" spans="1:13" x14ac:dyDescent="0.3">
      <c r="D94" t="s">
        <v>86</v>
      </c>
      <c r="H94">
        <v>1843.86</v>
      </c>
      <c r="I94">
        <v>2512.8000000000002</v>
      </c>
      <c r="J94">
        <v>2078.5300000000002</v>
      </c>
      <c r="K94">
        <v>3027.36</v>
      </c>
      <c r="L94">
        <v>2916.66</v>
      </c>
      <c r="M94">
        <v>2937.31</v>
      </c>
    </row>
    <row r="95" spans="1:13" x14ac:dyDescent="0.3">
      <c r="D95" t="s">
        <v>16</v>
      </c>
      <c r="H95">
        <v>184.81</v>
      </c>
      <c r="I95">
        <v>197.85</v>
      </c>
      <c r="J95">
        <v>200.54</v>
      </c>
      <c r="K95">
        <v>225.91</v>
      </c>
      <c r="L95">
        <v>300.45999999999998</v>
      </c>
      <c r="M95">
        <v>313.33999999999997</v>
      </c>
    </row>
    <row r="96" spans="1:13" x14ac:dyDescent="0.3">
      <c r="D96" t="s">
        <v>87</v>
      </c>
      <c r="H96">
        <v>21.58</v>
      </c>
      <c r="I96">
        <v>18.940000000000001</v>
      </c>
      <c r="J96">
        <v>4.78</v>
      </c>
    </row>
    <row r="97" spans="4:13" x14ac:dyDescent="0.3">
      <c r="D97" t="s">
        <v>88</v>
      </c>
      <c r="H97">
        <v>-89.88</v>
      </c>
      <c r="I97">
        <v>-65.47</v>
      </c>
      <c r="J97">
        <v>-28.91</v>
      </c>
      <c r="K97">
        <v>-42.08</v>
      </c>
      <c r="L97">
        <v>-25.17</v>
      </c>
      <c r="M97">
        <v>-81.349999999999994</v>
      </c>
    </row>
    <row r="98" spans="4:13" x14ac:dyDescent="0.3">
      <c r="D98" t="s">
        <v>89</v>
      </c>
      <c r="H98">
        <v>-0.11</v>
      </c>
      <c r="I98">
        <v>-0.33</v>
      </c>
      <c r="J98">
        <v>-0.95</v>
      </c>
      <c r="K98">
        <v>-0.83</v>
      </c>
      <c r="L98">
        <v>-0.45</v>
      </c>
      <c r="M98">
        <v>-1.24</v>
      </c>
    </row>
    <row r="99" spans="4:13" x14ac:dyDescent="0.3">
      <c r="D99" t="s">
        <v>90</v>
      </c>
      <c r="J99">
        <v>0</v>
      </c>
      <c r="K99">
        <v>-375.6</v>
      </c>
    </row>
    <row r="100" spans="4:13" x14ac:dyDescent="0.3">
      <c r="D100" t="s">
        <v>91</v>
      </c>
      <c r="H100">
        <v>-176.77</v>
      </c>
      <c r="I100">
        <v>-234.66</v>
      </c>
      <c r="J100">
        <v>-184.6</v>
      </c>
      <c r="K100">
        <v>-163.15</v>
      </c>
      <c r="L100">
        <v>-178.75</v>
      </c>
      <c r="M100">
        <v>-132.80000000000001</v>
      </c>
    </row>
    <row r="101" spans="4:13" x14ac:dyDescent="0.3">
      <c r="D101" t="s">
        <v>15</v>
      </c>
      <c r="H101">
        <v>76.900000000000006</v>
      </c>
      <c r="I101">
        <v>110.9</v>
      </c>
      <c r="J101">
        <v>144.29</v>
      </c>
      <c r="K101">
        <f>169.1+5.59</f>
        <v>174.69</v>
      </c>
      <c r="L101">
        <v>164</v>
      </c>
      <c r="M101">
        <v>138.80000000000001</v>
      </c>
    </row>
    <row r="102" spans="4:13" x14ac:dyDescent="0.3">
      <c r="D102" t="s">
        <v>92</v>
      </c>
      <c r="H102">
        <v>42.99</v>
      </c>
      <c r="I102">
        <v>-351.44</v>
      </c>
      <c r="J102">
        <v>-274.76</v>
      </c>
      <c r="K102">
        <v>177.15</v>
      </c>
      <c r="L102">
        <v>12.6</v>
      </c>
      <c r="M102">
        <v>-54.33</v>
      </c>
    </row>
    <row r="103" spans="4:13" x14ac:dyDescent="0.3">
      <c r="D103" t="s">
        <v>93</v>
      </c>
      <c r="H103">
        <v>78.849999999999994</v>
      </c>
      <c r="I103">
        <v>61.4</v>
      </c>
      <c r="J103">
        <v>-72.209999999999994</v>
      </c>
      <c r="K103">
        <v>1.29</v>
      </c>
      <c r="L103">
        <v>-63.65</v>
      </c>
      <c r="M103">
        <v>-53.44</v>
      </c>
    </row>
    <row r="104" spans="4:13" x14ac:dyDescent="0.3">
      <c r="D104" t="s">
        <v>94</v>
      </c>
      <c r="H104">
        <v>-23.66</v>
      </c>
      <c r="I104">
        <v>-170.82</v>
      </c>
    </row>
    <row r="105" spans="4:13" x14ac:dyDescent="0.3">
      <c r="D105" t="s">
        <v>95</v>
      </c>
      <c r="J105">
        <v>-44.29</v>
      </c>
      <c r="K105">
        <v>-64.819999999999993</v>
      </c>
      <c r="L105">
        <v>-24.52</v>
      </c>
      <c r="M105">
        <v>-106.58</v>
      </c>
    </row>
    <row r="106" spans="4:13" x14ac:dyDescent="0.3">
      <c r="D106" t="s">
        <v>96</v>
      </c>
      <c r="H106">
        <v>29.21</v>
      </c>
      <c r="I106">
        <v>404.71</v>
      </c>
      <c r="J106">
        <v>64.010000000000005</v>
      </c>
      <c r="K106">
        <v>292.04000000000002</v>
      </c>
      <c r="L106">
        <v>236.67</v>
      </c>
      <c r="M106">
        <v>210.15</v>
      </c>
    </row>
    <row r="107" spans="4:13" x14ac:dyDescent="0.3">
      <c r="D107" s="24" t="s">
        <v>97</v>
      </c>
      <c r="E107" s="24"/>
      <c r="F107" s="24"/>
      <c r="G107" s="24"/>
      <c r="H107" s="24">
        <v>1987.78</v>
      </c>
      <c r="I107" s="24">
        <v>2483.88</v>
      </c>
      <c r="J107" s="24">
        <v>1886.43</v>
      </c>
      <c r="K107" s="24">
        <v>3251.96</v>
      </c>
      <c r="L107" s="24">
        <v>3337.85</v>
      </c>
      <c r="M107" s="24">
        <v>3169.86</v>
      </c>
    </row>
    <row r="108" spans="4:13" x14ac:dyDescent="0.3">
      <c r="D108" t="s">
        <v>98</v>
      </c>
      <c r="H108">
        <v>-503.25</v>
      </c>
      <c r="I108">
        <v>-632.80999999999995</v>
      </c>
      <c r="J108">
        <v>-586.91</v>
      </c>
      <c r="K108">
        <v>-725.75</v>
      </c>
      <c r="L108">
        <v>-764.87</v>
      </c>
      <c r="M108">
        <v>-689.21</v>
      </c>
    </row>
    <row r="109" spans="4:13" x14ac:dyDescent="0.3">
      <c r="D109" s="5" t="s">
        <v>99</v>
      </c>
      <c r="E109" s="5"/>
      <c r="F109" s="5"/>
      <c r="G109" s="5"/>
      <c r="H109" s="5">
        <v>1484.53</v>
      </c>
      <c r="I109" s="5">
        <v>1851.07</v>
      </c>
      <c r="J109" s="5">
        <v>1299.52</v>
      </c>
      <c r="K109" s="5">
        <v>2526.21</v>
      </c>
      <c r="L109" s="5">
        <v>2572.98</v>
      </c>
      <c r="M109" s="5">
        <v>2480.65</v>
      </c>
    </row>
    <row r="110" spans="4:13" x14ac:dyDescent="0.3">
      <c r="D110" s="4" t="s">
        <v>100</v>
      </c>
    </row>
    <row r="111" spans="4:13" x14ac:dyDescent="0.3">
      <c r="D111" t="s">
        <v>101</v>
      </c>
      <c r="H111">
        <v>-244.17</v>
      </c>
      <c r="I111">
        <v>-242.07</v>
      </c>
      <c r="J111">
        <v>-550.17999999999995</v>
      </c>
      <c r="K111">
        <v>-711.46</v>
      </c>
      <c r="L111">
        <v>-552.87</v>
      </c>
      <c r="M111">
        <v>-374.85</v>
      </c>
    </row>
    <row r="112" spans="4:13" x14ac:dyDescent="0.3">
      <c r="D112" t="s">
        <v>102</v>
      </c>
      <c r="H112">
        <v>0.73</v>
      </c>
      <c r="I112">
        <v>2.17</v>
      </c>
      <c r="J112">
        <v>0</v>
      </c>
      <c r="K112">
        <v>0</v>
      </c>
      <c r="L112">
        <v>64.52</v>
      </c>
      <c r="M112">
        <v>4.58</v>
      </c>
    </row>
    <row r="113" spans="4:13" x14ac:dyDescent="0.3">
      <c r="D113" t="s">
        <v>103</v>
      </c>
      <c r="J113">
        <v>0</v>
      </c>
      <c r="K113">
        <v>-1.45</v>
      </c>
      <c r="L113">
        <v>-190.9</v>
      </c>
      <c r="M113">
        <v>-945.05</v>
      </c>
    </row>
    <row r="114" spans="4:13" x14ac:dyDescent="0.3">
      <c r="D114" t="s">
        <v>104</v>
      </c>
      <c r="J114">
        <v>3.16</v>
      </c>
      <c r="K114">
        <v>78.430000000000007</v>
      </c>
      <c r="L114">
        <v>294.22000000000003</v>
      </c>
      <c r="M114">
        <v>572.16</v>
      </c>
    </row>
    <row r="115" spans="4:13" x14ac:dyDescent="0.3">
      <c r="D115" t="s">
        <v>105</v>
      </c>
      <c r="H115">
        <v>-1326.63</v>
      </c>
      <c r="I115">
        <v>178.82</v>
      </c>
      <c r="J115">
        <v>-20.68</v>
      </c>
      <c r="K115">
        <v>-400.82</v>
      </c>
      <c r="L115">
        <v>476.87</v>
      </c>
      <c r="M115">
        <v>347.31</v>
      </c>
    </row>
    <row r="116" spans="4:13" x14ac:dyDescent="0.3">
      <c r="D116" t="s">
        <v>106</v>
      </c>
      <c r="J116">
        <v>191.78</v>
      </c>
      <c r="K116">
        <v>443.27</v>
      </c>
    </row>
    <row r="117" spans="4:13" x14ac:dyDescent="0.3">
      <c r="D117" t="s">
        <v>228</v>
      </c>
      <c r="J117">
        <v>876.87</v>
      </c>
      <c r="K117">
        <v>-1067.32</v>
      </c>
    </row>
    <row r="118" spans="4:13" x14ac:dyDescent="0.3">
      <c r="D118" t="s">
        <v>107</v>
      </c>
      <c r="J118">
        <v>0</v>
      </c>
      <c r="K118">
        <v>-214.91</v>
      </c>
    </row>
    <row r="119" spans="4:13" x14ac:dyDescent="0.3">
      <c r="D119" t="s">
        <v>108</v>
      </c>
      <c r="H119">
        <v>-1293.4100000000001</v>
      </c>
      <c r="I119">
        <v>-1202.5</v>
      </c>
      <c r="J119">
        <v>-740</v>
      </c>
      <c r="K119">
        <f>261.8-138.59-850</f>
        <v>-726.79</v>
      </c>
      <c r="L119">
        <v>-610</v>
      </c>
      <c r="M119">
        <v>-75</v>
      </c>
    </row>
    <row r="120" spans="4:13" x14ac:dyDescent="0.3">
      <c r="D120" t="s">
        <v>109</v>
      </c>
      <c r="H120">
        <v>1204.24</v>
      </c>
      <c r="I120">
        <v>1491.41</v>
      </c>
      <c r="J120">
        <v>941.5</v>
      </c>
      <c r="K120">
        <v>938</v>
      </c>
      <c r="L120">
        <v>860</v>
      </c>
      <c r="M120">
        <v>460</v>
      </c>
    </row>
    <row r="121" spans="4:13" x14ac:dyDescent="0.3">
      <c r="D121" t="s">
        <v>110</v>
      </c>
      <c r="J121">
        <v>1.69</v>
      </c>
      <c r="K121">
        <v>-28.69</v>
      </c>
      <c r="L121">
        <v>-27.95</v>
      </c>
      <c r="M121">
        <v>-56.15</v>
      </c>
    </row>
    <row r="122" spans="4:13" x14ac:dyDescent="0.3">
      <c r="D122" t="s">
        <v>111</v>
      </c>
      <c r="H122">
        <v>127.62</v>
      </c>
      <c r="I122">
        <v>233.43</v>
      </c>
      <c r="J122">
        <v>206.75</v>
      </c>
      <c r="K122">
        <v>174.68</v>
      </c>
      <c r="L122">
        <v>170.26</v>
      </c>
      <c r="M122">
        <v>151.36000000000001</v>
      </c>
    </row>
    <row r="123" spans="4:13" x14ac:dyDescent="0.3">
      <c r="D123" s="5" t="s">
        <v>112</v>
      </c>
      <c r="E123" s="5"/>
      <c r="F123" s="5"/>
      <c r="G123" s="5"/>
      <c r="H123" s="5">
        <v>-1531.62</v>
      </c>
      <c r="I123" s="5">
        <v>461.26</v>
      </c>
      <c r="J123" s="5">
        <v>910.89</v>
      </c>
      <c r="K123" s="5">
        <v>-1517.06</v>
      </c>
      <c r="L123" s="5">
        <v>484.15</v>
      </c>
      <c r="M123" s="5">
        <v>84.36</v>
      </c>
    </row>
    <row r="124" spans="4:13" x14ac:dyDescent="0.3">
      <c r="D124" s="4" t="s">
        <v>113</v>
      </c>
    </row>
    <row r="125" spans="4:13" x14ac:dyDescent="0.3">
      <c r="D125" t="s">
        <v>114</v>
      </c>
      <c r="H125">
        <v>23.97</v>
      </c>
      <c r="I125">
        <v>103.15</v>
      </c>
    </row>
    <row r="126" spans="4:13" x14ac:dyDescent="0.3">
      <c r="D126" t="s">
        <v>115</v>
      </c>
      <c r="L126">
        <v>-113.6</v>
      </c>
      <c r="M126">
        <v>-148.53</v>
      </c>
    </row>
    <row r="127" spans="4:13" x14ac:dyDescent="0.3">
      <c r="D127" t="s">
        <v>116</v>
      </c>
      <c r="J127">
        <v>-966.29</v>
      </c>
    </row>
    <row r="128" spans="4:13" x14ac:dyDescent="0.3">
      <c r="D128" t="s">
        <v>117</v>
      </c>
      <c r="J128">
        <v>-17.73</v>
      </c>
      <c r="K128">
        <v>-70.23</v>
      </c>
    </row>
    <row r="129" spans="3:13" x14ac:dyDescent="0.3">
      <c r="D129" t="s">
        <v>118</v>
      </c>
      <c r="H129">
        <v>-2.0299999999999998</v>
      </c>
      <c r="I129">
        <v>-2.5499999999999998</v>
      </c>
      <c r="J129">
        <v>-1.55</v>
      </c>
      <c r="K129">
        <v>-2.76</v>
      </c>
      <c r="L129">
        <v>-1.95</v>
      </c>
      <c r="M129">
        <v>-3.58</v>
      </c>
    </row>
    <row r="130" spans="3:13" x14ac:dyDescent="0.3">
      <c r="D130" t="s">
        <v>119</v>
      </c>
      <c r="I130">
        <v>-1.04</v>
      </c>
      <c r="J130">
        <v>-0.65</v>
      </c>
      <c r="K130">
        <v>-0.63</v>
      </c>
      <c r="L130">
        <v>-0.62</v>
      </c>
      <c r="M130">
        <v>-0.89</v>
      </c>
    </row>
    <row r="131" spans="3:13" x14ac:dyDescent="0.3">
      <c r="D131" t="s">
        <v>120</v>
      </c>
      <c r="H131">
        <v>-35.99</v>
      </c>
      <c r="I131">
        <v>-101.3</v>
      </c>
      <c r="J131">
        <v>-118.61</v>
      </c>
      <c r="K131">
        <v>-195.66</v>
      </c>
      <c r="L131">
        <v>-164.28</v>
      </c>
      <c r="M131">
        <v>-170.62</v>
      </c>
    </row>
    <row r="132" spans="3:13" x14ac:dyDescent="0.3">
      <c r="D132" t="s">
        <v>121</v>
      </c>
      <c r="H132">
        <v>720.95</v>
      </c>
      <c r="J132">
        <v>698.52</v>
      </c>
    </row>
    <row r="133" spans="3:13" x14ac:dyDescent="0.3">
      <c r="D133" t="s">
        <v>122</v>
      </c>
      <c r="H133">
        <v>640.72</v>
      </c>
      <c r="I133">
        <v>567.79999999999995</v>
      </c>
      <c r="K133">
        <f>1010+2.69</f>
        <v>1012.69</v>
      </c>
      <c r="L133">
        <v>200.84</v>
      </c>
    </row>
    <row r="134" spans="3:13" x14ac:dyDescent="0.3">
      <c r="D134" t="s">
        <v>123</v>
      </c>
      <c r="J134">
        <v>645.35</v>
      </c>
      <c r="K134">
        <v>299.39999999999998</v>
      </c>
      <c r="L134">
        <v>-1027.48</v>
      </c>
      <c r="M134">
        <v>26.26</v>
      </c>
    </row>
    <row r="135" spans="3:13" x14ac:dyDescent="0.3">
      <c r="D135" t="s">
        <v>124</v>
      </c>
      <c r="H135">
        <v>12</v>
      </c>
      <c r="I135">
        <v>14</v>
      </c>
      <c r="J135">
        <v>0</v>
      </c>
      <c r="K135">
        <v>9.01</v>
      </c>
      <c r="L135">
        <v>0.43</v>
      </c>
      <c r="M135">
        <v>1.56</v>
      </c>
    </row>
    <row r="136" spans="3:13" x14ac:dyDescent="0.3">
      <c r="D136" t="s">
        <v>125</v>
      </c>
      <c r="H136">
        <v>-432.53</v>
      </c>
      <c r="I136">
        <v>-2823.75</v>
      </c>
      <c r="J136">
        <v>-2484.88</v>
      </c>
      <c r="K136">
        <v>-1359.24</v>
      </c>
      <c r="L136">
        <v>-1732.47</v>
      </c>
      <c r="M136">
        <v>-1767.54</v>
      </c>
    </row>
    <row r="137" spans="3:13" x14ac:dyDescent="0.3">
      <c r="D137" t="s">
        <v>126</v>
      </c>
      <c r="H137">
        <v>-869.15</v>
      </c>
      <c r="J137">
        <v>0</v>
      </c>
      <c r="K137">
        <v>-720.95</v>
      </c>
      <c r="L137">
        <v>0</v>
      </c>
      <c r="M137">
        <v>-698.52</v>
      </c>
    </row>
    <row r="138" spans="3:13" x14ac:dyDescent="0.3">
      <c r="D138" s="5" t="s">
        <v>127</v>
      </c>
      <c r="E138" s="5"/>
      <c r="F138" s="5"/>
      <c r="G138" s="5"/>
      <c r="H138" s="5">
        <v>57.94</v>
      </c>
      <c r="I138" s="5">
        <v>-2243.69</v>
      </c>
      <c r="J138" s="5">
        <v>-2245.84</v>
      </c>
      <c r="K138" s="5">
        <v>-1028.3699999999999</v>
      </c>
      <c r="L138" s="5">
        <v>-2839.13</v>
      </c>
      <c r="M138" s="5">
        <v>-2761.86</v>
      </c>
    </row>
    <row r="139" spans="3:13" x14ac:dyDescent="0.3">
      <c r="D139" t="s">
        <v>128</v>
      </c>
    </row>
    <row r="140" spans="3:13" x14ac:dyDescent="0.3">
      <c r="D140" s="5" t="s">
        <v>129</v>
      </c>
      <c r="E140" s="5"/>
      <c r="F140" s="5"/>
      <c r="G140" s="5"/>
      <c r="H140" s="5">
        <v>10.85</v>
      </c>
      <c r="I140" s="5">
        <v>68.64</v>
      </c>
      <c r="J140" s="5">
        <v>-35.43</v>
      </c>
      <c r="K140" s="5">
        <v>-19.22</v>
      </c>
      <c r="L140" s="5">
        <v>218</v>
      </c>
      <c r="M140" s="5">
        <v>-196.85</v>
      </c>
    </row>
    <row r="141" spans="3:13" x14ac:dyDescent="0.3">
      <c r="D141" t="s">
        <v>130</v>
      </c>
      <c r="H141">
        <v>5.69</v>
      </c>
      <c r="I141">
        <v>-2.44</v>
      </c>
      <c r="J141">
        <v>3.3</v>
      </c>
      <c r="K141">
        <v>10.06</v>
      </c>
      <c r="L141">
        <v>1.29</v>
      </c>
      <c r="M141">
        <v>2.64</v>
      </c>
    </row>
    <row r="142" spans="3:13" x14ac:dyDescent="0.3">
      <c r="D142" t="s">
        <v>131</v>
      </c>
      <c r="H142">
        <v>58.72</v>
      </c>
      <c r="I142">
        <v>75.260000000000005</v>
      </c>
      <c r="J142">
        <v>141.44999999999999</v>
      </c>
      <c r="K142">
        <v>109.32</v>
      </c>
      <c r="L142">
        <v>100.16</v>
      </c>
      <c r="M142">
        <v>319.45</v>
      </c>
    </row>
    <row r="143" spans="3:13" x14ac:dyDescent="0.3">
      <c r="C143" s="22"/>
      <c r="D143" s="4" t="s">
        <v>132</v>
      </c>
      <c r="E143" s="4"/>
      <c r="F143" s="4"/>
      <c r="G143" s="4"/>
      <c r="H143" s="4">
        <v>75.260000000000005</v>
      </c>
      <c r="I143" s="4">
        <v>141.44999999999999</v>
      </c>
      <c r="J143" s="4">
        <v>109.32</v>
      </c>
      <c r="K143" s="4">
        <v>100.16</v>
      </c>
      <c r="L143" s="4">
        <v>319.45</v>
      </c>
      <c r="M143" s="4">
        <v>125.24</v>
      </c>
    </row>
    <row r="144" spans="3:13" x14ac:dyDescent="0.3">
      <c r="D144" t="s">
        <v>133</v>
      </c>
      <c r="H144">
        <v>81.23</v>
      </c>
      <c r="I144">
        <v>142.74</v>
      </c>
      <c r="J144">
        <v>117.99</v>
      </c>
      <c r="K144">
        <v>102.38</v>
      </c>
      <c r="L144">
        <v>322.8</v>
      </c>
      <c r="M144">
        <v>132.78</v>
      </c>
    </row>
    <row r="145" spans="4:11" x14ac:dyDescent="0.3">
      <c r="D145" t="s">
        <v>134</v>
      </c>
      <c r="H145">
        <v>-5.97</v>
      </c>
      <c r="I145">
        <v>-1.29</v>
      </c>
      <c r="J145">
        <v>-8.67</v>
      </c>
      <c r="K145">
        <v>-2.2200000000000002</v>
      </c>
    </row>
    <row r="146" spans="4:11" x14ac:dyDescent="0.3">
      <c r="D146" t="s">
        <v>135</v>
      </c>
    </row>
    <row r="147" spans="4:11" x14ac:dyDescent="0.3">
      <c r="D147" t="s">
        <v>136</v>
      </c>
      <c r="H147">
        <v>76.099999999999994</v>
      </c>
      <c r="I147">
        <v>747.99</v>
      </c>
    </row>
    <row r="148" spans="4:11" x14ac:dyDescent="0.3">
      <c r="D148" t="s">
        <v>137</v>
      </c>
      <c r="H148">
        <v>659.31</v>
      </c>
      <c r="I148">
        <v>585.08000000000004</v>
      </c>
    </row>
    <row r="149" spans="4:11" x14ac:dyDescent="0.3">
      <c r="D149" t="s">
        <v>138</v>
      </c>
      <c r="H149">
        <v>6.85</v>
      </c>
      <c r="I149">
        <v>-1.77</v>
      </c>
    </row>
    <row r="150" spans="4:11" x14ac:dyDescent="0.3">
      <c r="D150" t="s">
        <v>139</v>
      </c>
      <c r="H150">
        <v>5.73</v>
      </c>
      <c r="I150">
        <v>8.1199999999999992</v>
      </c>
    </row>
    <row r="151" spans="4:11" x14ac:dyDescent="0.3">
      <c r="D151" t="s">
        <v>140</v>
      </c>
      <c r="H151">
        <v>747.99</v>
      </c>
      <c r="I151">
        <v>1339.42</v>
      </c>
    </row>
    <row r="152" spans="4:11" x14ac:dyDescent="0.3">
      <c r="D152" t="s">
        <v>141</v>
      </c>
      <c r="H152">
        <v>81.13</v>
      </c>
      <c r="I152">
        <v>789.02</v>
      </c>
    </row>
    <row r="153" spans="4:11" x14ac:dyDescent="0.3">
      <c r="D153" t="s">
        <v>142</v>
      </c>
      <c r="H153">
        <v>707.89</v>
      </c>
      <c r="I153">
        <v>-22.77</v>
      </c>
    </row>
    <row r="154" spans="4:11" x14ac:dyDescent="0.3">
      <c r="D154" t="s">
        <v>143</v>
      </c>
      <c r="H154">
        <v>789.02</v>
      </c>
      <c r="I154">
        <v>766.25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D41F5-7A06-453A-A47E-4EA8E3DD59C7}">
  <dimension ref="A1:S194"/>
  <sheetViews>
    <sheetView showGridLines="0" tabSelected="1" zoomScale="83" zoomScaleNormal="108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E6" sqref="E6"/>
    </sheetView>
  </sheetViews>
  <sheetFormatPr defaultColWidth="11.77734375" defaultRowHeight="14.4" x14ac:dyDescent="0.3"/>
  <cols>
    <col min="1" max="3" width="1.33203125" style="1" customWidth="1"/>
    <col min="4" max="4" width="40.77734375" customWidth="1"/>
    <col min="5" max="5" width="15" customWidth="1"/>
    <col min="6" max="6" width="12.77734375" customWidth="1"/>
    <col min="7" max="7" width="2.77734375" customWidth="1"/>
    <col min="8" max="19" width="15.109375" customWidth="1"/>
  </cols>
  <sheetData>
    <row r="1" spans="1:19" ht="32.4" x14ac:dyDescent="0.6">
      <c r="A1" s="8" t="s">
        <v>155</v>
      </c>
      <c r="B1" s="9"/>
      <c r="C1" s="9"/>
      <c r="D1" s="10"/>
      <c r="E1" s="10"/>
      <c r="F1" s="10"/>
      <c r="G1" s="10"/>
      <c r="H1" s="13" t="s">
        <v>159</v>
      </c>
      <c r="I1" s="14"/>
      <c r="J1" s="14"/>
      <c r="K1" s="14"/>
      <c r="L1" s="14"/>
      <c r="M1" s="14"/>
      <c r="N1" s="17" t="s">
        <v>160</v>
      </c>
      <c r="O1" s="15"/>
      <c r="P1" s="15"/>
      <c r="Q1" s="15"/>
      <c r="R1" s="15"/>
      <c r="S1" s="15"/>
    </row>
    <row r="2" spans="1:19" ht="19.8" x14ac:dyDescent="0.4">
      <c r="A2" s="18" t="s">
        <v>158</v>
      </c>
      <c r="B2" s="19"/>
      <c r="C2" s="19"/>
      <c r="D2" s="12"/>
      <c r="E2" s="12"/>
      <c r="F2" s="29" t="s">
        <v>150</v>
      </c>
      <c r="G2" s="12"/>
      <c r="H2" s="26">
        <v>2020</v>
      </c>
      <c r="I2" s="26">
        <f>H2+1</f>
        <v>2021</v>
      </c>
      <c r="J2" s="26">
        <f t="shared" ref="J2:S2" si="0">I2+1</f>
        <v>2022</v>
      </c>
      <c r="K2" s="26">
        <f t="shared" si="0"/>
        <v>2023</v>
      </c>
      <c r="L2" s="26">
        <f t="shared" si="0"/>
        <v>2024</v>
      </c>
      <c r="M2" s="26">
        <f t="shared" si="0"/>
        <v>2025</v>
      </c>
      <c r="N2" s="27">
        <f t="shared" si="0"/>
        <v>2026</v>
      </c>
      <c r="O2" s="28">
        <f t="shared" si="0"/>
        <v>2027</v>
      </c>
      <c r="P2" s="28">
        <f t="shared" si="0"/>
        <v>2028</v>
      </c>
      <c r="Q2" s="28">
        <f t="shared" si="0"/>
        <v>2029</v>
      </c>
      <c r="R2" s="28">
        <f t="shared" si="0"/>
        <v>2030</v>
      </c>
      <c r="S2" s="28">
        <f t="shared" si="0"/>
        <v>2031</v>
      </c>
    </row>
    <row r="4" spans="1:19" ht="19.8" x14ac:dyDescent="0.4">
      <c r="A4" s="18" t="s">
        <v>161</v>
      </c>
      <c r="B4" s="19"/>
      <c r="C4" s="19"/>
      <c r="D4" s="12"/>
      <c r="E4" s="12"/>
      <c r="F4" s="12"/>
      <c r="G4" s="12"/>
      <c r="H4" s="12"/>
      <c r="I4" s="12"/>
      <c r="J4" s="12"/>
      <c r="K4" s="12"/>
      <c r="L4" s="12"/>
      <c r="M4" s="12"/>
      <c r="N4" s="20"/>
      <c r="O4" s="21"/>
      <c r="P4" s="21"/>
      <c r="Q4" s="21"/>
      <c r="R4" s="21"/>
      <c r="S4" s="21"/>
    </row>
    <row r="6" spans="1:19" ht="15" thickBot="1" x14ac:dyDescent="0.35">
      <c r="D6" s="39" t="s">
        <v>229</v>
      </c>
      <c r="E6" s="48" t="s">
        <v>247</v>
      </c>
      <c r="F6" s="49" t="s">
        <v>150</v>
      </c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</row>
    <row r="7" spans="1:19" x14ac:dyDescent="0.3">
      <c r="D7" s="4" t="s">
        <v>231</v>
      </c>
      <c r="F7" t="s">
        <v>232</v>
      </c>
      <c r="I7" s="68">
        <f>I26/H26-1</f>
        <v>0.13246979408683957</v>
      </c>
      <c r="J7" s="68">
        <f t="shared" ref="J7:M7" si="1">J26/I26-1</f>
        <v>7.613499856122119E-2</v>
      </c>
      <c r="K7" s="68">
        <f t="shared" si="1"/>
        <v>0.15310202274151719</v>
      </c>
      <c r="L7" s="68">
        <f t="shared" si="1"/>
        <v>2.8754857964915281E-2</v>
      </c>
      <c r="M7" s="68">
        <f t="shared" si="1"/>
        <v>6.9973230796569919E-2</v>
      </c>
      <c r="N7" s="46" cm="1">
        <f t="array" ref="N7:S7">_xlfn.XLOOKUP(E6,'Scenario Analysis'!D5:D7,'Scenario Analysis'!H5:M7)</f>
        <v>9.2086980830212634E-2</v>
      </c>
      <c r="O7" s="46">
        <v>8.2878282747191376E-2</v>
      </c>
      <c r="P7" s="46">
        <v>7.4590454472472242E-2</v>
      </c>
      <c r="Q7" s="46">
        <v>6.713140902522502E-2</v>
      </c>
      <c r="R7" s="46">
        <v>6.0418268122702519E-2</v>
      </c>
      <c r="S7" s="46">
        <v>5.4376441310432268E-2</v>
      </c>
    </row>
    <row r="8" spans="1:19" x14ac:dyDescent="0.3">
      <c r="D8" t="s">
        <v>233</v>
      </c>
      <c r="F8" t="s">
        <v>232</v>
      </c>
      <c r="H8" s="68">
        <f>-H27/H26</f>
        <v>0.59721885762809768</v>
      </c>
      <c r="I8" s="68">
        <f t="shared" ref="I8" si="2">-I27/I26</f>
        <v>0.58054344731405116</v>
      </c>
      <c r="J8" s="68">
        <f t="shared" ref="J8:M8" si="3">-J27/J26</f>
        <v>0.61970422162580474</v>
      </c>
      <c r="K8" s="68">
        <f t="shared" si="3"/>
        <v>0.58840345877899836</v>
      </c>
      <c r="L8" s="68">
        <f t="shared" si="3"/>
        <v>0.56603716202315302</v>
      </c>
      <c r="M8" s="68">
        <f t="shared" si="3"/>
        <v>0.590996211823547</v>
      </c>
      <c r="N8" s="68">
        <f t="shared" ref="N8:N14" si="4">AVERAGE(H8:M8)</f>
        <v>0.5904838931989419</v>
      </c>
      <c r="O8" s="68">
        <f>N8</f>
        <v>0.5904838931989419</v>
      </c>
      <c r="P8" s="68">
        <f t="shared" ref="P8:S8" si="5">O8</f>
        <v>0.5904838931989419</v>
      </c>
      <c r="Q8" s="68">
        <f t="shared" si="5"/>
        <v>0.5904838931989419</v>
      </c>
      <c r="R8" s="68">
        <f t="shared" si="5"/>
        <v>0.5904838931989419</v>
      </c>
      <c r="S8" s="68">
        <f t="shared" si="5"/>
        <v>0.5904838931989419</v>
      </c>
    </row>
    <row r="9" spans="1:19" x14ac:dyDescent="0.3">
      <c r="D9" t="s">
        <v>234</v>
      </c>
      <c r="F9" t="s">
        <v>232</v>
      </c>
      <c r="H9" s="68">
        <f>-H30/H26</f>
        <v>4.1957662150686879E-2</v>
      </c>
      <c r="I9" s="68">
        <f t="shared" ref="I9" si="6">-I30/I26</f>
        <v>4.0147257870272395E-2</v>
      </c>
      <c r="J9" s="68">
        <f t="shared" ref="J9:M9" si="7">-J30/J26</f>
        <v>3.8359509516661408E-2</v>
      </c>
      <c r="K9" s="68">
        <f t="shared" si="7"/>
        <v>4.0390048188558056E-2</v>
      </c>
      <c r="L9" s="68">
        <f t="shared" si="7"/>
        <v>4.2261827736091079E-2</v>
      </c>
      <c r="M9" s="68">
        <f t="shared" si="7"/>
        <v>3.9268960528171117E-2</v>
      </c>
      <c r="N9" s="68">
        <f t="shared" si="4"/>
        <v>4.039754433174015E-2</v>
      </c>
      <c r="O9" s="68">
        <f t="shared" ref="O9:S15" si="8">N9</f>
        <v>4.039754433174015E-2</v>
      </c>
      <c r="P9" s="68">
        <f t="shared" si="8"/>
        <v>4.039754433174015E-2</v>
      </c>
      <c r="Q9" s="68">
        <f t="shared" si="8"/>
        <v>4.039754433174015E-2</v>
      </c>
      <c r="R9" s="68">
        <f t="shared" si="8"/>
        <v>4.039754433174015E-2</v>
      </c>
      <c r="S9" s="68">
        <f t="shared" si="8"/>
        <v>4.039754433174015E-2</v>
      </c>
    </row>
    <row r="10" spans="1:19" x14ac:dyDescent="0.3">
      <c r="D10" t="s">
        <v>235</v>
      </c>
      <c r="F10" t="s">
        <v>232</v>
      </c>
      <c r="H10" s="68">
        <f>-H31/H26</f>
        <v>0.20192248837239377</v>
      </c>
      <c r="I10" s="68">
        <f t="shared" ref="I10" si="9">-I31/I26</f>
        <v>0.18828742690013961</v>
      </c>
      <c r="J10" s="68">
        <f t="shared" ref="J10:M10" si="10">-J31/J26</f>
        <v>0.1862097895765924</v>
      </c>
      <c r="K10" s="68">
        <f t="shared" si="10"/>
        <v>0.19753382554576379</v>
      </c>
      <c r="L10" s="68">
        <f t="shared" si="10"/>
        <v>0.20265998460278831</v>
      </c>
      <c r="M10" s="68">
        <f t="shared" si="10"/>
        <v>0.19210518835825441</v>
      </c>
      <c r="N10" s="68">
        <f t="shared" si="4"/>
        <v>0.19478645055932206</v>
      </c>
      <c r="O10" s="68">
        <f t="shared" si="8"/>
        <v>0.19478645055932206</v>
      </c>
      <c r="P10" s="68">
        <f t="shared" si="8"/>
        <v>0.19478645055932206</v>
      </c>
      <c r="Q10" s="68">
        <f t="shared" si="8"/>
        <v>0.19478645055932206</v>
      </c>
      <c r="R10" s="68">
        <f t="shared" si="8"/>
        <v>0.19478645055932206</v>
      </c>
      <c r="S10" s="68">
        <f t="shared" si="8"/>
        <v>0.19478645055932206</v>
      </c>
    </row>
    <row r="11" spans="1:19" x14ac:dyDescent="0.3">
      <c r="D11" t="s">
        <v>236</v>
      </c>
      <c r="F11" t="s">
        <v>232</v>
      </c>
      <c r="H11" s="68"/>
      <c r="I11" s="68">
        <f>-I33/H56</f>
        <v>0.11122917088308711</v>
      </c>
      <c r="J11" s="68">
        <f t="shared" ref="J11:M11" si="11">-J33/I56</f>
        <v>0.11307137581262651</v>
      </c>
      <c r="K11" s="68">
        <f t="shared" si="11"/>
        <v>0.10513288170922357</v>
      </c>
      <c r="L11" s="68">
        <f t="shared" si="11"/>
        <v>0.11424164368156708</v>
      </c>
      <c r="M11" s="68">
        <f t="shared" si="11"/>
        <v>0.11076546736141059</v>
      </c>
      <c r="N11" s="68">
        <f t="shared" si="4"/>
        <v>0.11088810788958296</v>
      </c>
      <c r="O11" s="68">
        <f t="shared" si="8"/>
        <v>0.11088810788958296</v>
      </c>
      <c r="P11" s="68">
        <f t="shared" si="8"/>
        <v>0.11088810788958296</v>
      </c>
      <c r="Q11" s="68">
        <f t="shared" si="8"/>
        <v>0.11088810788958296</v>
      </c>
      <c r="R11" s="68">
        <f t="shared" si="8"/>
        <v>0.11088810788958296</v>
      </c>
      <c r="S11" s="68">
        <f t="shared" si="8"/>
        <v>0.11088810788958296</v>
      </c>
    </row>
    <row r="12" spans="1:19" x14ac:dyDescent="0.3">
      <c r="D12" t="s">
        <v>237</v>
      </c>
      <c r="F12" t="s">
        <v>232</v>
      </c>
      <c r="H12" s="68"/>
      <c r="I12" s="68">
        <f>-I35/H68</f>
        <v>7.3247250751296192E-2</v>
      </c>
      <c r="J12" s="68">
        <f t="shared" ref="J12:M12" si="12">-J35/I68</f>
        <v>6.9131886717421195E-2</v>
      </c>
      <c r="K12" s="68">
        <f t="shared" si="12"/>
        <v>6.8152506851523451E-2</v>
      </c>
      <c r="L12" s="68">
        <f t="shared" si="12"/>
        <v>5.4714633161738462E-2</v>
      </c>
      <c r="M12" s="68">
        <f t="shared" si="12"/>
        <v>6.7216798388346516E-2</v>
      </c>
      <c r="N12" s="68">
        <f t="shared" si="4"/>
        <v>6.649261517406517E-2</v>
      </c>
      <c r="O12" s="68">
        <f t="shared" si="8"/>
        <v>6.649261517406517E-2</v>
      </c>
      <c r="P12" s="68">
        <f t="shared" si="8"/>
        <v>6.649261517406517E-2</v>
      </c>
      <c r="Q12" s="68">
        <f t="shared" si="8"/>
        <v>6.649261517406517E-2</v>
      </c>
      <c r="R12" s="68">
        <f t="shared" si="8"/>
        <v>6.649261517406517E-2</v>
      </c>
      <c r="S12" s="68">
        <f t="shared" si="8"/>
        <v>6.649261517406517E-2</v>
      </c>
    </row>
    <row r="13" spans="1:19" x14ac:dyDescent="0.3">
      <c r="D13" t="s">
        <v>238</v>
      </c>
      <c r="F13" t="s">
        <v>232</v>
      </c>
      <c r="H13" s="68">
        <f>H39/H26</f>
        <v>2.4087141311516395E-2</v>
      </c>
      <c r="I13" s="68">
        <f t="shared" ref="I13:M13" si="13">I39/I26</f>
        <v>2.3817498899981273E-2</v>
      </c>
      <c r="J13" s="68">
        <f t="shared" si="13"/>
        <v>1.5763009452287948E-2</v>
      </c>
      <c r="K13" s="68">
        <f t="shared" si="13"/>
        <v>1.3242497952523075E-2</v>
      </c>
      <c r="L13" s="68">
        <f t="shared" si="13"/>
        <v>1.2772171955010564E-2</v>
      </c>
      <c r="M13" s="68">
        <f t="shared" si="13"/>
        <v>1.2656421814590584E-2</v>
      </c>
      <c r="N13" s="68">
        <f t="shared" si="4"/>
        <v>1.7056456897651642E-2</v>
      </c>
      <c r="O13" s="68">
        <f t="shared" si="8"/>
        <v>1.7056456897651642E-2</v>
      </c>
      <c r="P13" s="68">
        <f t="shared" si="8"/>
        <v>1.7056456897651642E-2</v>
      </c>
      <c r="Q13" s="68">
        <f t="shared" si="8"/>
        <v>1.7056456897651642E-2</v>
      </c>
      <c r="R13" s="68">
        <f t="shared" si="8"/>
        <v>1.7056456897651642E-2</v>
      </c>
      <c r="S13" s="68">
        <f t="shared" si="8"/>
        <v>1.7056456897651642E-2</v>
      </c>
    </row>
    <row r="14" spans="1:19" x14ac:dyDescent="0.3">
      <c r="D14" t="s">
        <v>239</v>
      </c>
      <c r="F14" t="s">
        <v>232</v>
      </c>
      <c r="H14" s="68">
        <f>-H41/H40</f>
        <v>0.24437455945345116</v>
      </c>
      <c r="I14" s="68">
        <f t="shared" ref="I14:M14" si="14">-I41/I40</f>
        <v>0.26377202509538089</v>
      </c>
      <c r="J14" s="68">
        <f t="shared" si="14"/>
        <v>0.27059344339599933</v>
      </c>
      <c r="K14" s="68">
        <f t="shared" si="14"/>
        <v>0.23623618012575978</v>
      </c>
      <c r="L14" s="68">
        <f t="shared" si="14"/>
        <v>0.26746456973986332</v>
      </c>
      <c r="M14" s="68">
        <f t="shared" si="14"/>
        <v>0.25583191244357756</v>
      </c>
      <c r="N14" s="68">
        <f t="shared" si="4"/>
        <v>0.25637878170900535</v>
      </c>
      <c r="O14" s="68">
        <f t="shared" si="8"/>
        <v>0.25637878170900535</v>
      </c>
      <c r="P14" s="68">
        <f t="shared" si="8"/>
        <v>0.25637878170900535</v>
      </c>
      <c r="Q14" s="68">
        <f t="shared" si="8"/>
        <v>0.25637878170900535</v>
      </c>
      <c r="R14" s="68">
        <f t="shared" si="8"/>
        <v>0.25637878170900535</v>
      </c>
      <c r="S14" s="68">
        <f t="shared" si="8"/>
        <v>0.25637878170900535</v>
      </c>
    </row>
    <row r="15" spans="1:19" x14ac:dyDescent="0.3">
      <c r="D15" t="s">
        <v>240</v>
      </c>
      <c r="F15" t="s">
        <v>232</v>
      </c>
      <c r="H15" s="68">
        <f>-H101/H42</f>
        <v>0.3103688289322617</v>
      </c>
      <c r="I15" s="68">
        <f t="shared" ref="I15:M15" si="15">-I101/I42</f>
        <v>1.5258647242230867</v>
      </c>
      <c r="J15" s="68">
        <f t="shared" si="15"/>
        <v>1.6392542846964748</v>
      </c>
      <c r="K15" s="68">
        <f t="shared" si="15"/>
        <v>0.58681011259238847</v>
      </c>
      <c r="L15" s="68">
        <f t="shared" si="15"/>
        <v>0.81175792561216686</v>
      </c>
      <c r="M15" s="68">
        <f t="shared" si="15"/>
        <v>0.81159486835701211</v>
      </c>
      <c r="N15" s="68">
        <f>AVERAGE(K15:M15)</f>
        <v>0.73672096885385585</v>
      </c>
      <c r="O15" s="68">
        <f t="shared" si="8"/>
        <v>0.73672096885385585</v>
      </c>
      <c r="P15" s="68">
        <f t="shared" si="8"/>
        <v>0.73672096885385585</v>
      </c>
      <c r="Q15" s="68">
        <f t="shared" si="8"/>
        <v>0.73672096885385585</v>
      </c>
      <c r="R15" s="68">
        <f t="shared" si="8"/>
        <v>0.73672096885385585</v>
      </c>
      <c r="S15" s="68">
        <f t="shared" si="8"/>
        <v>0.73672096885385585</v>
      </c>
    </row>
    <row r="16" spans="1:19" x14ac:dyDescent="0.3">
      <c r="D16" t="s">
        <v>241</v>
      </c>
      <c r="F16" t="s">
        <v>242</v>
      </c>
      <c r="H16" s="47">
        <f>H50/H26*365</f>
        <v>10.080684164471899</v>
      </c>
      <c r="I16" s="47">
        <f t="shared" ref="I16:L16" si="16">I50/I26*365</f>
        <v>7.1484888254845025</v>
      </c>
      <c r="J16" s="47">
        <f t="shared" si="16"/>
        <v>8.5704740857907264</v>
      </c>
      <c r="K16" s="47">
        <f t="shared" si="16"/>
        <v>7.3655858237912231</v>
      </c>
      <c r="L16" s="47">
        <f t="shared" si="16"/>
        <v>8.5612224026448374</v>
      </c>
      <c r="M16" s="47">
        <f>M50/M26*365</f>
        <v>9.1258798161031791</v>
      </c>
      <c r="N16" s="47">
        <f t="shared" ref="N16:N21" si="17">AVERAGE(H16:M16)</f>
        <v>8.4753891863810615</v>
      </c>
      <c r="O16" s="47">
        <f>N16</f>
        <v>8.4753891863810615</v>
      </c>
      <c r="P16" s="47">
        <f t="shared" ref="P16:S16" si="18">O16</f>
        <v>8.4753891863810615</v>
      </c>
      <c r="Q16" s="47">
        <f t="shared" si="18"/>
        <v>8.4753891863810615</v>
      </c>
      <c r="R16" s="47">
        <f t="shared" si="18"/>
        <v>8.4753891863810615</v>
      </c>
      <c r="S16" s="47">
        <f t="shared" si="18"/>
        <v>8.4753891863810615</v>
      </c>
    </row>
    <row r="17" spans="1:19" x14ac:dyDescent="0.3">
      <c r="D17" t="s">
        <v>243</v>
      </c>
      <c r="F17" t="s">
        <v>242</v>
      </c>
      <c r="H17" s="47">
        <f>-H52/H27*365</f>
        <v>39.040284548327172</v>
      </c>
      <c r="I17" s="47">
        <f t="shared" ref="I17:M17" si="19">-I52/I27*365</f>
        <v>52.240837387393292</v>
      </c>
      <c r="J17" s="47">
        <f t="shared" si="19"/>
        <v>56.976798739769194</v>
      </c>
      <c r="K17" s="47">
        <f t="shared" si="19"/>
        <v>45.406847872551161</v>
      </c>
      <c r="L17" s="47">
        <f t="shared" si="19"/>
        <v>45.421822307767677</v>
      </c>
      <c r="M17" s="47">
        <f t="shared" si="19"/>
        <v>42.561676906464974</v>
      </c>
      <c r="N17" s="47">
        <f t="shared" si="17"/>
        <v>46.941377960378908</v>
      </c>
      <c r="O17" s="47">
        <f t="shared" ref="O17:S21" si="20">N17</f>
        <v>46.941377960378908</v>
      </c>
      <c r="P17" s="47">
        <f t="shared" si="20"/>
        <v>46.941377960378908</v>
      </c>
      <c r="Q17" s="47">
        <f t="shared" si="20"/>
        <v>46.941377960378908</v>
      </c>
      <c r="R17" s="47">
        <f t="shared" si="20"/>
        <v>46.941377960378908</v>
      </c>
      <c r="S17" s="47">
        <f t="shared" si="20"/>
        <v>46.941377960378908</v>
      </c>
    </row>
    <row r="18" spans="1:19" x14ac:dyDescent="0.3">
      <c r="D18" s="30" t="s">
        <v>267</v>
      </c>
      <c r="F18" t="s">
        <v>242</v>
      </c>
      <c r="H18" s="47">
        <f>-H65/H27*365</f>
        <v>55.165161307086137</v>
      </c>
      <c r="I18" s="47">
        <f t="shared" ref="I18:M18" si="21">-I65/I27*365</f>
        <v>79.965827880568042</v>
      </c>
      <c r="J18" s="47">
        <f t="shared" si="21"/>
        <v>71.529633688344006</v>
      </c>
      <c r="K18" s="47">
        <f t="shared" si="21"/>
        <v>74.018360389102625</v>
      </c>
      <c r="L18" s="47">
        <f t="shared" si="21"/>
        <v>81.708675594156375</v>
      </c>
      <c r="M18" s="47">
        <f t="shared" si="21"/>
        <v>75.091408471291629</v>
      </c>
      <c r="N18" s="47">
        <f t="shared" si="17"/>
        <v>72.913177888424798</v>
      </c>
      <c r="O18" s="47">
        <f t="shared" si="20"/>
        <v>72.913177888424798</v>
      </c>
      <c r="P18" s="47">
        <f t="shared" si="20"/>
        <v>72.913177888424798</v>
      </c>
      <c r="Q18" s="47">
        <f t="shared" si="20"/>
        <v>72.913177888424798</v>
      </c>
      <c r="R18" s="47">
        <f t="shared" si="20"/>
        <v>72.913177888424798</v>
      </c>
      <c r="S18" s="47">
        <f t="shared" si="20"/>
        <v>72.913177888424798</v>
      </c>
    </row>
    <row r="19" spans="1:19" x14ac:dyDescent="0.3">
      <c r="D19" t="s">
        <v>335</v>
      </c>
      <c r="F19" t="s">
        <v>244</v>
      </c>
      <c r="H19" s="47">
        <f>H26/H56</f>
        <v>6.5211439429715083</v>
      </c>
      <c r="I19" s="47">
        <f t="shared" ref="I19:M19" si="22">I26/I56</f>
        <v>7.4066092683119358</v>
      </c>
      <c r="J19" s="47">
        <f t="shared" si="22"/>
        <v>6.577207250800269</v>
      </c>
      <c r="K19" s="47">
        <f t="shared" si="22"/>
        <v>6.1928886761342481</v>
      </c>
      <c r="L19" s="47">
        <f t="shared" si="22"/>
        <v>5.92792502987069</v>
      </c>
      <c r="M19" s="47">
        <f t="shared" si="22"/>
        <v>6.2731782869849164</v>
      </c>
      <c r="N19" s="47">
        <f t="shared" si="17"/>
        <v>6.4831587425122619</v>
      </c>
      <c r="O19" s="47">
        <f t="shared" si="20"/>
        <v>6.4831587425122619</v>
      </c>
      <c r="P19" s="47">
        <f t="shared" si="20"/>
        <v>6.4831587425122619</v>
      </c>
      <c r="Q19" s="47">
        <f t="shared" si="20"/>
        <v>6.4831587425122619</v>
      </c>
      <c r="R19" s="47">
        <f t="shared" si="20"/>
        <v>6.4831587425122619</v>
      </c>
      <c r="S19" s="47">
        <f t="shared" si="20"/>
        <v>6.4831587425122619</v>
      </c>
    </row>
    <row r="20" spans="1:19" x14ac:dyDescent="0.3">
      <c r="D20" t="s">
        <v>333</v>
      </c>
      <c r="F20" t="s">
        <v>232</v>
      </c>
      <c r="H20" s="46">
        <f>H53/H42</f>
        <v>0.72385907003444305</v>
      </c>
      <c r="I20" s="46">
        <f t="shared" ref="I20:M20" si="23">I53/I42</f>
        <v>0.75286800425810196</v>
      </c>
      <c r="J20" s="46">
        <f t="shared" si="23"/>
        <v>0.55000461784069732</v>
      </c>
      <c r="K20" s="46">
        <f t="shared" si="23"/>
        <v>0.77752210402707811</v>
      </c>
      <c r="L20" s="46">
        <f t="shared" si="23"/>
        <v>0.79490867858046443</v>
      </c>
      <c r="M20" s="46">
        <f t="shared" si="23"/>
        <v>0.51042766752683899</v>
      </c>
      <c r="N20" s="46">
        <f t="shared" si="17"/>
        <v>0.68493169037793722</v>
      </c>
      <c r="O20" s="46">
        <f t="shared" si="20"/>
        <v>0.68493169037793722</v>
      </c>
      <c r="P20" s="46">
        <f t="shared" si="20"/>
        <v>0.68493169037793722</v>
      </c>
      <c r="Q20" s="46">
        <f t="shared" si="20"/>
        <v>0.68493169037793722</v>
      </c>
      <c r="R20" s="46">
        <f t="shared" si="20"/>
        <v>0.68493169037793722</v>
      </c>
      <c r="S20" s="46">
        <f t="shared" si="20"/>
        <v>0.68493169037793722</v>
      </c>
    </row>
    <row r="21" spans="1:19" x14ac:dyDescent="0.3">
      <c r="D21" t="s">
        <v>334</v>
      </c>
      <c r="F21" t="s">
        <v>232</v>
      </c>
      <c r="H21" s="46">
        <f>H87/-H86</f>
        <v>0.25317188018794839</v>
      </c>
      <c r="I21" s="46">
        <f t="shared" ref="I21:M21" si="24">I87/-I86</f>
        <v>0.25476673591316812</v>
      </c>
      <c r="J21" s="46">
        <f t="shared" si="24"/>
        <v>0.31112206654898406</v>
      </c>
      <c r="K21" s="46">
        <f t="shared" si="24"/>
        <v>0.22317310176016925</v>
      </c>
      <c r="L21" s="46">
        <f t="shared" si="24"/>
        <v>0.22915050107104873</v>
      </c>
      <c r="M21" s="46">
        <f t="shared" si="24"/>
        <v>0.21742600619585722</v>
      </c>
      <c r="N21" s="46">
        <f t="shared" si="17"/>
        <v>0.24813504861286262</v>
      </c>
      <c r="O21" s="46">
        <f t="shared" si="20"/>
        <v>0.24813504861286262</v>
      </c>
      <c r="P21" s="46">
        <f t="shared" si="20"/>
        <v>0.24813504861286262</v>
      </c>
      <c r="Q21" s="46">
        <f t="shared" si="20"/>
        <v>0.24813504861286262</v>
      </c>
      <c r="R21" s="46">
        <f t="shared" si="20"/>
        <v>0.24813504861286262</v>
      </c>
      <c r="S21" s="46">
        <f t="shared" si="20"/>
        <v>0.24813504861286262</v>
      </c>
    </row>
    <row r="24" spans="1:19" ht="19.8" x14ac:dyDescent="0.4">
      <c r="A24" s="18" t="s">
        <v>162</v>
      </c>
      <c r="B24" s="19"/>
      <c r="C24" s="19"/>
      <c r="D24" s="12"/>
      <c r="E24" s="12"/>
      <c r="F24" s="12"/>
      <c r="G24" s="12"/>
      <c r="H24" s="26">
        <v>2020</v>
      </c>
      <c r="I24" s="26">
        <f>H24+1</f>
        <v>2021</v>
      </c>
      <c r="J24" s="26">
        <f t="shared" ref="J24:S24" si="25">I24+1</f>
        <v>2022</v>
      </c>
      <c r="K24" s="26">
        <f t="shared" si="25"/>
        <v>2023</v>
      </c>
      <c r="L24" s="26">
        <f t="shared" si="25"/>
        <v>2024</v>
      </c>
      <c r="M24" s="26">
        <f t="shared" si="25"/>
        <v>2025</v>
      </c>
      <c r="N24" s="27">
        <f t="shared" si="25"/>
        <v>2026</v>
      </c>
      <c r="O24" s="28">
        <f t="shared" si="25"/>
        <v>2027</v>
      </c>
      <c r="P24" s="28">
        <f t="shared" si="25"/>
        <v>2028</v>
      </c>
      <c r="Q24" s="28">
        <f t="shared" si="25"/>
        <v>2029</v>
      </c>
      <c r="R24" s="28">
        <f t="shared" si="25"/>
        <v>2030</v>
      </c>
      <c r="S24" s="28">
        <f t="shared" si="25"/>
        <v>2031</v>
      </c>
    </row>
    <row r="25" spans="1:19" x14ac:dyDescent="0.3">
      <c r="B25" s="22" t="s">
        <v>163</v>
      </c>
    </row>
    <row r="26" spans="1:19" x14ac:dyDescent="0.3">
      <c r="D26" s="4" t="s">
        <v>164</v>
      </c>
      <c r="F26" s="4" t="s">
        <v>401</v>
      </c>
      <c r="H26" s="53">
        <f>Historical!H8</f>
        <v>11599.55</v>
      </c>
      <c r="I26" s="53">
        <f>Historical!I8</f>
        <v>13136.14</v>
      </c>
      <c r="J26" s="53">
        <f>Historical!J8</f>
        <v>14136.26</v>
      </c>
      <c r="K26" s="53">
        <f>Historical!K8</f>
        <v>16300.55</v>
      </c>
      <c r="L26" s="53">
        <f>Historical!L8</f>
        <v>16769.27</v>
      </c>
      <c r="M26" s="53">
        <f>Historical!M8</f>
        <v>17942.669999999998</v>
      </c>
      <c r="N26" s="59">
        <f>M26*(1+N7)</f>
        <v>19594.956308332832</v>
      </c>
      <c r="O26" s="59">
        <f t="shared" ref="O26:S26" si="26">N26*(1+O7)</f>
        <v>21218.952637673705</v>
      </c>
      <c r="P26" s="59">
        <f t="shared" si="26"/>
        <v>22801.68395834765</v>
      </c>
      <c r="Q26" s="59">
        <f t="shared" si="26"/>
        <v>24332.393130619399</v>
      </c>
      <c r="R26" s="59">
        <f t="shared" si="26"/>
        <v>25802.514182852166</v>
      </c>
      <c r="S26" s="59">
        <f t="shared" si="26"/>
        <v>27205.563080977619</v>
      </c>
    </row>
    <row r="27" spans="1:19" x14ac:dyDescent="0.3">
      <c r="D27" t="s">
        <v>165</v>
      </c>
      <c r="F27" s="30" t="s">
        <v>401</v>
      </c>
      <c r="H27" s="54">
        <f>-SUM(Historical!H11:H13)</f>
        <v>-6927.4699999999993</v>
      </c>
      <c r="I27" s="54">
        <f>-SUM(Historical!I11:I13)</f>
        <v>-7626.1</v>
      </c>
      <c r="J27" s="54">
        <f>-SUM(Historical!J11:J13)</f>
        <v>-8760.2999999999993</v>
      </c>
      <c r="K27" s="54">
        <f>-SUM(Historical!K11:K13)</f>
        <v>-9591.3000000000011</v>
      </c>
      <c r="L27" s="54">
        <f>-SUM(Historical!L11:L13)</f>
        <v>-9492.0299999999988</v>
      </c>
      <c r="M27" s="54">
        <f>-SUM(Historical!M11:M13)</f>
        <v>-10604.050000000001</v>
      </c>
      <c r="N27" s="59">
        <f>-N26*N8</f>
        <v>-11570.506088007536</v>
      </c>
      <c r="O27" s="59">
        <f t="shared" ref="O27:S27" si="27">-O26*O8</f>
        <v>-12529.449763097526</v>
      </c>
      <c r="P27" s="59">
        <f t="shared" si="27"/>
        <v>-13464.027115216981</v>
      </c>
      <c r="Q27" s="59">
        <f t="shared" si="27"/>
        <v>-14367.886226615332</v>
      </c>
      <c r="R27" s="59">
        <f t="shared" si="27"/>
        <v>-15235.969029011463</v>
      </c>
      <c r="S27" s="59">
        <f t="shared" si="27"/>
        <v>-16064.446804725065</v>
      </c>
    </row>
    <row r="28" spans="1:19" x14ac:dyDescent="0.3">
      <c r="D28" s="32" t="s">
        <v>166</v>
      </c>
      <c r="E28" s="32"/>
      <c r="F28" s="32" t="s">
        <v>401</v>
      </c>
      <c r="G28" s="32"/>
      <c r="H28" s="55">
        <f>SUM(H26:H27)</f>
        <v>4672.08</v>
      </c>
      <c r="I28" s="55">
        <f t="shared" ref="I28:M28" si="28">SUM(I26:I27)</f>
        <v>5510.0399999999991</v>
      </c>
      <c r="J28" s="55">
        <f t="shared" si="28"/>
        <v>5375.9600000000009</v>
      </c>
      <c r="K28" s="55">
        <f t="shared" si="28"/>
        <v>6709.2499999999982</v>
      </c>
      <c r="L28" s="55">
        <f t="shared" si="28"/>
        <v>7277.2400000000016</v>
      </c>
      <c r="M28" s="55">
        <f t="shared" si="28"/>
        <v>7338.6199999999972</v>
      </c>
      <c r="N28" s="55">
        <f t="shared" ref="N28" si="29">SUM(N26:N27)</f>
        <v>8024.450220325296</v>
      </c>
      <c r="O28" s="55">
        <f t="shared" ref="O28" si="30">SUM(O26:O27)</f>
        <v>8689.5028745761792</v>
      </c>
      <c r="P28" s="55">
        <f t="shared" ref="P28" si="31">SUM(P26:P27)</f>
        <v>9337.6568431306696</v>
      </c>
      <c r="Q28" s="55">
        <f t="shared" ref="Q28" si="32">SUM(Q26:Q27)</f>
        <v>9964.5069040040671</v>
      </c>
      <c r="R28" s="55">
        <f t="shared" ref="R28" si="33">SUM(R26:R27)</f>
        <v>10566.545153840703</v>
      </c>
      <c r="S28" s="55">
        <f t="shared" ref="S28" si="34">SUM(S26:S27)</f>
        <v>11141.116276252555</v>
      </c>
    </row>
    <row r="29" spans="1:19" x14ac:dyDescent="0.3">
      <c r="C29" s="22" t="s">
        <v>167</v>
      </c>
      <c r="D29" s="4"/>
      <c r="H29" s="54"/>
      <c r="I29" s="54"/>
      <c r="J29" s="54"/>
      <c r="K29" s="54"/>
      <c r="L29" s="54"/>
      <c r="M29" s="54"/>
      <c r="N29" s="59"/>
      <c r="O29" s="59"/>
      <c r="P29" s="59"/>
      <c r="Q29" s="59"/>
      <c r="R29" s="59"/>
      <c r="S29" s="59"/>
    </row>
    <row r="30" spans="1:19" x14ac:dyDescent="0.3">
      <c r="D30" t="s">
        <v>168</v>
      </c>
      <c r="F30" t="s">
        <v>401</v>
      </c>
      <c r="H30" s="54">
        <f>-Historical!H14</f>
        <v>-486.69</v>
      </c>
      <c r="I30" s="54">
        <f>-Historical!I14</f>
        <v>-527.38</v>
      </c>
      <c r="J30" s="54">
        <f>-Historical!J14</f>
        <v>-542.26</v>
      </c>
      <c r="K30" s="54">
        <f>-Historical!K14</f>
        <v>-658.38</v>
      </c>
      <c r="L30" s="54">
        <f>-Historical!L14</f>
        <v>-708.7</v>
      </c>
      <c r="M30" s="54">
        <f>-Historical!M14</f>
        <v>-704.59</v>
      </c>
      <c r="N30" s="59">
        <f>-N26*N9</f>
        <v>-791.58811614438685</v>
      </c>
      <c r="O30" s="59">
        <f t="shared" ref="O30:S30" si="35">-O26*O9</f>
        <v>-857.19357985351803</v>
      </c>
      <c r="P30" s="59">
        <f t="shared" si="35"/>
        <v>-921.13203854567746</v>
      </c>
      <c r="Q30" s="59">
        <f t="shared" si="35"/>
        <v>-982.96893019152662</v>
      </c>
      <c r="R30" s="59">
        <f t="shared" si="35"/>
        <v>-1042.3582105721243</v>
      </c>
      <c r="S30" s="59">
        <f t="shared" si="35"/>
        <v>-1099.0379406337465</v>
      </c>
    </row>
    <row r="31" spans="1:19" x14ac:dyDescent="0.3">
      <c r="D31" t="s">
        <v>169</v>
      </c>
      <c r="F31" t="s">
        <v>401</v>
      </c>
      <c r="H31" s="54">
        <f>-SUM(Historical!H17)</f>
        <v>-2342.21</v>
      </c>
      <c r="I31" s="54">
        <f>-SUM(Historical!I17)</f>
        <v>-2473.37</v>
      </c>
      <c r="J31" s="54">
        <f>-SUM(Historical!J17)</f>
        <v>-2632.31</v>
      </c>
      <c r="K31" s="54">
        <f>-SUM(Historical!K17)</f>
        <v>-3219.91</v>
      </c>
      <c r="L31" s="54">
        <f>-SUM(Historical!L17)</f>
        <v>-3398.46</v>
      </c>
      <c r="M31" s="54">
        <f>-SUM(Historical!M17)</f>
        <v>-3446.88</v>
      </c>
      <c r="N31" s="59">
        <f>N26*-N10</f>
        <v>-3816.8319881651491</v>
      </c>
      <c r="O31" s="59">
        <f t="shared" ref="O31:S31" si="36">O26*-O10</f>
        <v>-4133.1644688788256</v>
      </c>
      <c r="P31" s="59">
        <f t="shared" si="36"/>
        <v>-4441.459085021972</v>
      </c>
      <c r="Q31" s="59">
        <f t="shared" si="36"/>
        <v>-4739.6204915273829</v>
      </c>
      <c r="R31" s="59">
        <f t="shared" si="36"/>
        <v>-5025.9801531843395</v>
      </c>
      <c r="S31" s="59">
        <f t="shared" si="36"/>
        <v>-5299.275068011365</v>
      </c>
    </row>
    <row r="32" spans="1:19" x14ac:dyDescent="0.3">
      <c r="D32" s="32" t="s">
        <v>170</v>
      </c>
      <c r="E32" s="32"/>
      <c r="F32" s="32" t="s">
        <v>401</v>
      </c>
      <c r="G32" s="32"/>
      <c r="H32" s="55">
        <f>SUM(H28:H31)</f>
        <v>1843.1800000000003</v>
      </c>
      <c r="I32" s="55">
        <f t="shared" ref="I32:M32" si="37">SUM(I28:I31)</f>
        <v>2509.2899999999991</v>
      </c>
      <c r="J32" s="55">
        <f t="shared" si="37"/>
        <v>2201.3900000000008</v>
      </c>
      <c r="K32" s="55">
        <f t="shared" si="37"/>
        <v>2830.9599999999982</v>
      </c>
      <c r="L32" s="55">
        <f t="shared" si="37"/>
        <v>3170.0800000000017</v>
      </c>
      <c r="M32" s="55">
        <f t="shared" si="37"/>
        <v>3187.1499999999969</v>
      </c>
      <c r="N32" s="55">
        <f t="shared" ref="N32" si="38">SUM(N28:N31)</f>
        <v>3416.0301160157601</v>
      </c>
      <c r="O32" s="55">
        <f t="shared" ref="O32" si="39">SUM(O28:O31)</f>
        <v>3699.1448258438359</v>
      </c>
      <c r="P32" s="55">
        <f t="shared" ref="P32" si="40">SUM(P28:P31)</f>
        <v>3975.0657195630192</v>
      </c>
      <c r="Q32" s="55">
        <f t="shared" ref="Q32" si="41">SUM(Q28:Q31)</f>
        <v>4241.9174822851583</v>
      </c>
      <c r="R32" s="55">
        <f t="shared" ref="R32" si="42">SUM(R28:R31)</f>
        <v>4498.2067900842385</v>
      </c>
      <c r="S32" s="55">
        <f t="shared" ref="S32" si="43">SUM(S28:S31)</f>
        <v>4742.8032676074426</v>
      </c>
    </row>
    <row r="33" spans="1:19" x14ac:dyDescent="0.3">
      <c r="D33" t="s">
        <v>176</v>
      </c>
      <c r="F33" t="s">
        <v>401</v>
      </c>
      <c r="H33" s="54">
        <f>-Historical!H16</f>
        <v>-184.81</v>
      </c>
      <c r="I33" s="54">
        <f>-Historical!I16</f>
        <v>-197.85</v>
      </c>
      <c r="J33" s="54">
        <f>-Historical!J16</f>
        <v>-200.54</v>
      </c>
      <c r="K33" s="54">
        <f>-Historical!K16</f>
        <v>-225.96</v>
      </c>
      <c r="L33" s="54">
        <f>-Historical!L16</f>
        <v>-300.7</v>
      </c>
      <c r="M33" s="54">
        <f>-Historical!M16</f>
        <v>-313.33999999999997</v>
      </c>
      <c r="N33" s="59">
        <f>N11*-M56</f>
        <v>-317.16438394794301</v>
      </c>
      <c r="O33" s="59">
        <f t="shared" ref="O33:S33" si="44">O11*-N56</f>
        <v>-335.15261857803659</v>
      </c>
      <c r="P33" s="59">
        <f t="shared" si="44"/>
        <v>-362.92949206400874</v>
      </c>
      <c r="Q33" s="59">
        <f t="shared" si="44"/>
        <v>-390.00056781852663</v>
      </c>
      <c r="R33" s="59">
        <f t="shared" si="44"/>
        <v>-416.18185545682218</v>
      </c>
      <c r="S33" s="59">
        <f t="shared" si="44"/>
        <v>-441.3268423876163</v>
      </c>
    </row>
    <row r="34" spans="1:19" x14ac:dyDescent="0.3">
      <c r="D34" s="32" t="s">
        <v>171</v>
      </c>
      <c r="E34" s="32"/>
      <c r="F34" s="32" t="s">
        <v>401</v>
      </c>
      <c r="G34" s="32"/>
      <c r="H34" s="55">
        <f>SUM(H32:H33)</f>
        <v>1658.3700000000003</v>
      </c>
      <c r="I34" s="55">
        <f t="shared" ref="I34:M34" si="45">SUM(I32:I33)</f>
        <v>2311.4399999999991</v>
      </c>
      <c r="J34" s="55">
        <f t="shared" si="45"/>
        <v>2000.8500000000008</v>
      </c>
      <c r="K34" s="55">
        <f t="shared" si="45"/>
        <v>2604.9999999999982</v>
      </c>
      <c r="L34" s="55">
        <f t="shared" si="45"/>
        <v>2869.3800000000019</v>
      </c>
      <c r="M34" s="55">
        <f t="shared" si="45"/>
        <v>2873.8099999999968</v>
      </c>
      <c r="N34" s="55">
        <f t="shared" ref="N34" si="46">SUM(N32:N33)</f>
        <v>3098.8657320678171</v>
      </c>
      <c r="O34" s="55">
        <f t="shared" ref="O34" si="47">SUM(O32:O33)</f>
        <v>3363.9922072657992</v>
      </c>
      <c r="P34" s="55">
        <f t="shared" ref="P34" si="48">SUM(P32:P33)</f>
        <v>3612.1362274990106</v>
      </c>
      <c r="Q34" s="55">
        <f t="shared" ref="Q34" si="49">SUM(Q32:Q33)</f>
        <v>3851.9169144666316</v>
      </c>
      <c r="R34" s="55">
        <f t="shared" ref="R34" si="50">SUM(R32:R33)</f>
        <v>4082.0249346274163</v>
      </c>
      <c r="S34" s="55">
        <f t="shared" ref="S34" si="51">SUM(S32:S33)</f>
        <v>4301.4764252198265</v>
      </c>
    </row>
    <row r="35" spans="1:19" x14ac:dyDescent="0.3">
      <c r="D35" s="4" t="s">
        <v>251</v>
      </c>
      <c r="E35" s="4"/>
      <c r="F35" s="4" t="s">
        <v>401</v>
      </c>
      <c r="G35" s="4"/>
      <c r="H35" s="52">
        <f>-Historical!H15</f>
        <v>-76.900000000000006</v>
      </c>
      <c r="I35" s="52">
        <f>-Historical!I15</f>
        <v>-110.9</v>
      </c>
      <c r="J35" s="52">
        <f>-Historical!J15</f>
        <v>-144.29</v>
      </c>
      <c r="K35" s="52">
        <f>-Historical!K15</f>
        <v>-169.1</v>
      </c>
      <c r="L35" s="52">
        <f>-Historical!L15</f>
        <v>-164</v>
      </c>
      <c r="M35" s="52">
        <f>-Historical!M15</f>
        <v>-138.80000000000001</v>
      </c>
      <c r="N35" s="59">
        <f>N12*-AVERAGE(N124,N126)</f>
        <v>-82.883709740623971</v>
      </c>
      <c r="O35" s="59">
        <f t="shared" ref="O35:S35" si="52">O12*-N68</f>
        <v>-82.883709740623971</v>
      </c>
      <c r="P35" s="59">
        <f t="shared" si="52"/>
        <v>-82.883709740623971</v>
      </c>
      <c r="Q35" s="59">
        <f t="shared" si="52"/>
        <v>-82.883709740623971</v>
      </c>
      <c r="R35" s="59">
        <f t="shared" si="52"/>
        <v>-82.883709740623971</v>
      </c>
      <c r="S35" s="59">
        <f t="shared" si="52"/>
        <v>-82.883709740623971</v>
      </c>
    </row>
    <row r="36" spans="1:19" x14ac:dyDescent="0.3">
      <c r="D36" s="30" t="str" cm="1">
        <f t="array" ref="D36:D38">Historical!D20:D22</f>
        <v>Share of profit/(loss) of associates &amp; joint venture</v>
      </c>
      <c r="F36" t="s">
        <v>401</v>
      </c>
      <c r="H36" s="54">
        <f>Historical!H20</f>
        <v>0.44</v>
      </c>
      <c r="I36" s="54">
        <f>Historical!I20</f>
        <v>0.81</v>
      </c>
      <c r="J36" s="54">
        <f>Historical!J20</f>
        <v>-0.2</v>
      </c>
      <c r="K36" s="54">
        <f>Historical!K20</f>
        <v>5.41</v>
      </c>
      <c r="L36" s="54">
        <f>Historical!L20</f>
        <v>-3.19</v>
      </c>
      <c r="M36" s="54">
        <f>Historical!M20</f>
        <v>-10.74</v>
      </c>
      <c r="N36" s="59">
        <f>AVERAGE(K36:M36)</f>
        <v>-2.84</v>
      </c>
      <c r="O36" s="59">
        <f t="shared" ref="O36:S36" si="53">AVERAGE(L36:N36)</f>
        <v>-5.59</v>
      </c>
      <c r="P36" s="59">
        <f t="shared" si="53"/>
        <v>-6.3900000000000006</v>
      </c>
      <c r="Q36" s="59">
        <f t="shared" si="53"/>
        <v>-4.9400000000000004</v>
      </c>
      <c r="R36" s="59">
        <f t="shared" si="53"/>
        <v>-5.6400000000000006</v>
      </c>
      <c r="S36" s="59">
        <f t="shared" si="53"/>
        <v>-5.6566666666666672</v>
      </c>
    </row>
    <row r="37" spans="1:19" x14ac:dyDescent="0.3">
      <c r="D37" s="30" t="str">
        <v>Profit before exceptional items and tax</v>
      </c>
      <c r="F37" t="s">
        <v>401</v>
      </c>
      <c r="H37" s="56">
        <f>SUM(H34:H36)</f>
        <v>1581.9100000000003</v>
      </c>
      <c r="I37" s="56">
        <f t="shared" ref="I37:N37" si="54">SUM(I34:I36)</f>
        <v>2201.349999999999</v>
      </c>
      <c r="J37" s="56">
        <f t="shared" si="54"/>
        <v>1856.3600000000008</v>
      </c>
      <c r="K37" s="56">
        <f t="shared" si="54"/>
        <v>2441.3099999999981</v>
      </c>
      <c r="L37" s="56">
        <f t="shared" si="54"/>
        <v>2702.1900000000019</v>
      </c>
      <c r="M37" s="56">
        <f t="shared" si="54"/>
        <v>2724.2699999999968</v>
      </c>
      <c r="N37" s="59">
        <f t="shared" si="54"/>
        <v>3013.142022327193</v>
      </c>
      <c r="O37" s="59">
        <f t="shared" ref="O37" si="55">SUM(O34:O36)</f>
        <v>3275.518497525175</v>
      </c>
      <c r="P37" s="59">
        <f t="shared" ref="P37" si="56">SUM(P34:P36)</f>
        <v>3522.8625177583867</v>
      </c>
      <c r="Q37" s="59">
        <f t="shared" ref="Q37" si="57">SUM(Q34:Q36)</f>
        <v>3764.0932047260076</v>
      </c>
      <c r="R37" s="59">
        <f t="shared" ref="R37" si="58">SUM(R34:R36)</f>
        <v>3993.5012248867924</v>
      </c>
      <c r="S37" s="59">
        <f t="shared" ref="S37" si="59">SUM(S34:S36)</f>
        <v>4212.9360488125358</v>
      </c>
    </row>
    <row r="38" spans="1:19" x14ac:dyDescent="0.3">
      <c r="D38" t="str">
        <v>Exceptional items</v>
      </c>
      <c r="F38" t="s">
        <v>401</v>
      </c>
      <c r="H38" s="54">
        <f>-Historical!H22</f>
        <v>-17.010000000000002</v>
      </c>
      <c r="I38" s="54">
        <f>-Historical!I22</f>
        <v>-0.61</v>
      </c>
      <c r="J38" s="54">
        <f>-Historical!J22</f>
        <v>-0.98</v>
      </c>
      <c r="K38" s="54">
        <f>-Historical!K22</f>
        <v>375.6</v>
      </c>
      <c r="L38" s="54">
        <f>-Historical!L22</f>
        <v>-2.9</v>
      </c>
      <c r="M38" s="54">
        <f>-Historical!M22</f>
        <v>-24.79</v>
      </c>
      <c r="N38" s="59">
        <v>0</v>
      </c>
      <c r="O38" s="59">
        <v>0</v>
      </c>
      <c r="P38" s="59">
        <v>0</v>
      </c>
      <c r="Q38" s="59">
        <v>0</v>
      </c>
      <c r="R38" s="59">
        <v>0</v>
      </c>
      <c r="S38" s="59">
        <v>0</v>
      </c>
    </row>
    <row r="39" spans="1:19" x14ac:dyDescent="0.3">
      <c r="D39" s="30" t="s">
        <v>172</v>
      </c>
      <c r="F39" t="s">
        <v>401</v>
      </c>
      <c r="H39" s="54">
        <f>Historical!H9</f>
        <v>279.39999999999998</v>
      </c>
      <c r="I39" s="54">
        <f>Historical!I9</f>
        <v>312.87</v>
      </c>
      <c r="J39" s="54">
        <f>Historical!J9</f>
        <v>222.83</v>
      </c>
      <c r="K39" s="54">
        <f>Historical!K9</f>
        <v>215.86</v>
      </c>
      <c r="L39" s="54">
        <f>Historical!L9</f>
        <v>214.18</v>
      </c>
      <c r="M39" s="54">
        <f>Historical!M9</f>
        <v>227.09</v>
      </c>
      <c r="N39" s="59">
        <f>N13*N26</f>
        <v>334.2205276844461</v>
      </c>
      <c r="O39" s="59">
        <f t="shared" ref="O39:S39" si="60">O13*O26</f>
        <v>361.92015107779315</v>
      </c>
      <c r="P39" s="59">
        <f t="shared" si="60"/>
        <v>388.91593962943159</v>
      </c>
      <c r="Q39" s="59">
        <f t="shared" si="60"/>
        <v>415.02441464912465</v>
      </c>
      <c r="R39" s="59">
        <f t="shared" si="60"/>
        <v>440.09947101086317</v>
      </c>
      <c r="S39" s="59">
        <f t="shared" si="60"/>
        <v>464.03051406703759</v>
      </c>
    </row>
    <row r="40" spans="1:19" x14ac:dyDescent="0.3">
      <c r="D40" s="32" t="s">
        <v>173</v>
      </c>
      <c r="E40" s="32"/>
      <c r="F40" s="32" t="s">
        <v>401</v>
      </c>
      <c r="G40" s="32"/>
      <c r="H40" s="55">
        <f>SUM(H37:H39)</f>
        <v>1844.3000000000002</v>
      </c>
      <c r="I40" s="55">
        <f t="shared" ref="I40:M40" si="61">SUM(I37:I39)</f>
        <v>2513.6099999999988</v>
      </c>
      <c r="J40" s="55">
        <f t="shared" si="61"/>
        <v>2078.2100000000009</v>
      </c>
      <c r="K40" s="55">
        <f t="shared" si="61"/>
        <v>3032.7699999999982</v>
      </c>
      <c r="L40" s="55">
        <f t="shared" si="61"/>
        <v>2913.4700000000016</v>
      </c>
      <c r="M40" s="55">
        <f t="shared" si="61"/>
        <v>2926.569999999997</v>
      </c>
      <c r="N40" s="55">
        <f t="shared" ref="N40" si="62">SUM(N37:N39)</f>
        <v>3347.3625500116391</v>
      </c>
      <c r="O40" s="55">
        <f t="shared" ref="O40" si="63">SUM(O37:O39)</f>
        <v>3637.438648602968</v>
      </c>
      <c r="P40" s="55">
        <f t="shared" ref="P40" si="64">SUM(P37:P39)</f>
        <v>3911.7784573878184</v>
      </c>
      <c r="Q40" s="55">
        <f t="shared" ref="Q40" si="65">SUM(Q37:Q39)</f>
        <v>4179.1176193751326</v>
      </c>
      <c r="R40" s="55">
        <f t="shared" ref="R40" si="66">SUM(R37:R39)</f>
        <v>4433.6006958976559</v>
      </c>
      <c r="S40" s="55">
        <f t="shared" ref="S40" si="67">SUM(S37:S39)</f>
        <v>4676.9665628795738</v>
      </c>
    </row>
    <row r="41" spans="1:19" x14ac:dyDescent="0.3">
      <c r="D41" t="s">
        <v>174</v>
      </c>
      <c r="F41" t="s">
        <v>401</v>
      </c>
      <c r="H41" s="54">
        <f>-SUM(Historical!H24:H25)</f>
        <v>-450.7</v>
      </c>
      <c r="I41" s="54">
        <f>-SUM(Historical!I24:I25)</f>
        <v>-663.02</v>
      </c>
      <c r="J41" s="54">
        <f>-SUM(Historical!J24:J25)</f>
        <v>-562.35</v>
      </c>
      <c r="K41" s="54">
        <f>-SUM(Historical!K24:K25)</f>
        <v>-716.45</v>
      </c>
      <c r="L41" s="54">
        <f>-SUM(Historical!L24:L25)</f>
        <v>-779.25</v>
      </c>
      <c r="M41" s="54">
        <f>-SUM(Historical!M24:M25)</f>
        <v>-748.70999999999992</v>
      </c>
      <c r="N41" s="59">
        <f>-(N14)*N40</f>
        <v>-858.19273251033349</v>
      </c>
      <c r="O41" s="59">
        <f t="shared" ref="O41:S41" si="68">-(O14)*O40</f>
        <v>-932.56208927007981</v>
      </c>
      <c r="P41" s="59">
        <f t="shared" si="68"/>
        <v>-1002.8969952206212</v>
      </c>
      <c r="Q41" s="59">
        <f t="shared" si="68"/>
        <v>-1071.4370838740351</v>
      </c>
      <c r="R41" s="59">
        <f t="shared" si="68"/>
        <v>-1136.6811449984393</v>
      </c>
      <c r="S41" s="59">
        <f t="shared" si="68"/>
        <v>-1199.0749894848193</v>
      </c>
    </row>
    <row r="42" spans="1:19" ht="15" thickBot="1" x14ac:dyDescent="0.35">
      <c r="D42" s="34" t="s">
        <v>175</v>
      </c>
      <c r="E42" s="34"/>
      <c r="F42" s="34" t="s">
        <v>401</v>
      </c>
      <c r="G42" s="34"/>
      <c r="H42" s="57">
        <f>SUM(H40:H41)</f>
        <v>1393.6000000000001</v>
      </c>
      <c r="I42" s="57">
        <f t="shared" ref="I42:M42" si="69">SUM(I40:I41)</f>
        <v>1850.5899999999988</v>
      </c>
      <c r="J42" s="57">
        <f t="shared" si="69"/>
        <v>1515.860000000001</v>
      </c>
      <c r="K42" s="57">
        <f t="shared" si="69"/>
        <v>2316.3199999999979</v>
      </c>
      <c r="L42" s="57">
        <f t="shared" si="69"/>
        <v>2134.2200000000016</v>
      </c>
      <c r="M42" s="57">
        <f t="shared" si="69"/>
        <v>2177.8599999999969</v>
      </c>
      <c r="N42" s="57">
        <f t="shared" ref="N42" si="70">SUM(N40:N41)</f>
        <v>2489.1698175013057</v>
      </c>
      <c r="O42" s="57">
        <f t="shared" ref="O42" si="71">SUM(O40:O41)</f>
        <v>2704.8765593328881</v>
      </c>
      <c r="P42" s="57">
        <f t="shared" ref="P42" si="72">SUM(P40:P41)</f>
        <v>2908.8814621671972</v>
      </c>
      <c r="Q42" s="57">
        <f t="shared" ref="Q42" si="73">SUM(Q40:Q41)</f>
        <v>3107.6805355010974</v>
      </c>
      <c r="R42" s="57">
        <f t="shared" ref="R42" si="74">SUM(R40:R41)</f>
        <v>3296.9195508992166</v>
      </c>
      <c r="S42" s="57">
        <f t="shared" ref="S42" si="75">SUM(S40:S41)</f>
        <v>3477.8915733947542</v>
      </c>
    </row>
    <row r="43" spans="1:19" ht="15" thickTop="1" x14ac:dyDescent="0.3">
      <c r="H43" s="56"/>
      <c r="I43" s="56"/>
      <c r="J43" s="56"/>
      <c r="K43" s="56"/>
      <c r="L43" s="56"/>
      <c r="M43" s="56"/>
    </row>
    <row r="44" spans="1:19" ht="19.8" x14ac:dyDescent="0.4">
      <c r="A44" s="18" t="s">
        <v>156</v>
      </c>
      <c r="B44" s="19"/>
      <c r="C44" s="19"/>
      <c r="D44" s="12"/>
      <c r="E44" s="12"/>
      <c r="F44" s="12"/>
      <c r="G44" s="12"/>
      <c r="H44" s="58"/>
      <c r="I44" s="58"/>
      <c r="J44" s="58"/>
      <c r="K44" s="58"/>
      <c r="L44" s="58"/>
      <c r="M44" s="58"/>
      <c r="N44" s="20"/>
      <c r="O44" s="21"/>
      <c r="P44" s="21"/>
      <c r="Q44" s="21"/>
      <c r="R44" s="21"/>
      <c r="S44" s="21"/>
    </row>
    <row r="45" spans="1:19" x14ac:dyDescent="0.3">
      <c r="H45" s="56"/>
      <c r="I45" s="56"/>
      <c r="J45" s="56"/>
      <c r="K45" s="56"/>
      <c r="L45" s="56"/>
      <c r="M45" s="56"/>
    </row>
    <row r="46" spans="1:19" x14ac:dyDescent="0.3">
      <c r="B46" s="22" t="s">
        <v>177</v>
      </c>
      <c r="C46"/>
      <c r="H46" s="56"/>
      <c r="I46" s="56"/>
      <c r="J46" s="56"/>
      <c r="K46" s="56"/>
      <c r="L46" s="56"/>
      <c r="M46" s="56"/>
    </row>
    <row r="47" spans="1:19" x14ac:dyDescent="0.3">
      <c r="C47" s="4" t="s">
        <v>178</v>
      </c>
      <c r="H47" s="56"/>
      <c r="I47" s="56"/>
      <c r="J47" s="56"/>
      <c r="K47" s="56"/>
      <c r="L47" s="56"/>
      <c r="M47" s="56"/>
    </row>
    <row r="48" spans="1:19" x14ac:dyDescent="0.3">
      <c r="D48" t="s">
        <v>179</v>
      </c>
      <c r="F48" t="s">
        <v>401</v>
      </c>
      <c r="H48" s="54">
        <f>Historical!H52</f>
        <v>81.23</v>
      </c>
      <c r="I48" s="54">
        <f>Historical!I52</f>
        <v>142.74</v>
      </c>
      <c r="J48" s="54">
        <f>Historical!J52</f>
        <v>117.99</v>
      </c>
      <c r="K48" s="54">
        <f>Historical!K52</f>
        <v>102.38</v>
      </c>
      <c r="L48" s="54">
        <f>Historical!L52</f>
        <v>322.8</v>
      </c>
      <c r="M48" s="54">
        <f>Historical!M52</f>
        <v>132.72</v>
      </c>
      <c r="N48" s="59">
        <f>N106</f>
        <v>497.70334409675047</v>
      </c>
      <c r="O48" s="59">
        <f t="shared" ref="O48:S48" si="76">O106</f>
        <v>989.87064924332185</v>
      </c>
      <c r="P48" s="59">
        <f t="shared" si="76"/>
        <v>1541.3375046456424</v>
      </c>
      <c r="Q48" s="59">
        <f t="shared" si="76"/>
        <v>2152.190376960747</v>
      </c>
      <c r="R48" s="59">
        <f t="shared" si="76"/>
        <v>2821.0725625254927</v>
      </c>
      <c r="S48" s="59">
        <f t="shared" si="76"/>
        <v>3546.6857965627887</v>
      </c>
    </row>
    <row r="49" spans="2:19" x14ac:dyDescent="0.3">
      <c r="D49" t="s">
        <v>180</v>
      </c>
      <c r="F49" t="s">
        <v>401</v>
      </c>
      <c r="H49" s="54">
        <f>Historical!H53</f>
        <v>41.62</v>
      </c>
      <c r="I49" s="54">
        <f>Historical!I53</f>
        <v>68.599999999999994</v>
      </c>
      <c r="J49" s="54">
        <f>Historical!J53</f>
        <v>66.91</v>
      </c>
      <c r="K49" s="54">
        <f>Historical!K53</f>
        <v>95.6</v>
      </c>
      <c r="L49" s="54">
        <f>Historical!L53</f>
        <v>123.55</v>
      </c>
      <c r="M49" s="54">
        <f>Historical!M53</f>
        <v>179.7</v>
      </c>
      <c r="N49" s="59">
        <f>M49</f>
        <v>179.7</v>
      </c>
      <c r="O49" s="59">
        <f t="shared" ref="O49:S49" si="77">N49</f>
        <v>179.7</v>
      </c>
      <c r="P49" s="59">
        <f t="shared" si="77"/>
        <v>179.7</v>
      </c>
      <c r="Q49" s="59">
        <f t="shared" si="77"/>
        <v>179.7</v>
      </c>
      <c r="R49" s="59">
        <f t="shared" si="77"/>
        <v>179.7</v>
      </c>
      <c r="S49" s="59">
        <f t="shared" si="77"/>
        <v>179.7</v>
      </c>
    </row>
    <row r="50" spans="2:19" x14ac:dyDescent="0.3">
      <c r="D50" t="s">
        <v>181</v>
      </c>
      <c r="F50" t="s">
        <v>401</v>
      </c>
      <c r="H50" s="54">
        <f>Historical!H51</f>
        <v>320.36</v>
      </c>
      <c r="I50" s="54">
        <f>Historical!I51</f>
        <v>257.27</v>
      </c>
      <c r="J50" s="54">
        <f>Historical!J51</f>
        <v>331.93</v>
      </c>
      <c r="K50" s="54">
        <f>Historical!K51</f>
        <v>328.94</v>
      </c>
      <c r="L50" s="54">
        <f>Historical!L51</f>
        <v>393.33</v>
      </c>
      <c r="M50" s="54">
        <f>Historical!M51</f>
        <v>448.61</v>
      </c>
      <c r="N50" s="59">
        <f>N16*N26/365</f>
        <v>454.9996734335711</v>
      </c>
      <c r="O50" s="59">
        <f>O16*O26/365</f>
        <v>492.70926501827842</v>
      </c>
      <c r="P50" s="59">
        <f t="shared" ref="P50:S50" si="78">P16*P26/365</f>
        <v>529.46067301878952</v>
      </c>
      <c r="Q50" s="59">
        <f t="shared" si="78"/>
        <v>565.00411402198495</v>
      </c>
      <c r="R50" s="59">
        <f t="shared" si="78"/>
        <v>599.14068407339505</v>
      </c>
      <c r="S50" s="59">
        <f t="shared" si="78"/>
        <v>631.71982231760421</v>
      </c>
    </row>
    <row r="51" spans="2:19" x14ac:dyDescent="0.3">
      <c r="D51" t="s">
        <v>266</v>
      </c>
      <c r="F51" t="s">
        <v>401</v>
      </c>
      <c r="H51" s="54">
        <f>Historical!H54</f>
        <v>1110.1099999999999</v>
      </c>
      <c r="I51" s="54">
        <f>Historical!I54</f>
        <v>946.56</v>
      </c>
      <c r="J51" s="54">
        <f>Historical!J54</f>
        <v>698</v>
      </c>
      <c r="K51" s="54">
        <f>Historical!K54</f>
        <v>560</v>
      </c>
      <c r="L51" s="54">
        <f>Historical!L54</f>
        <v>460</v>
      </c>
      <c r="M51" s="54">
        <f>Historical!M54</f>
        <v>50</v>
      </c>
      <c r="N51" s="59">
        <f>M51</f>
        <v>50</v>
      </c>
      <c r="O51" s="59">
        <f t="shared" ref="O51:S51" si="79">N51</f>
        <v>50</v>
      </c>
      <c r="P51" s="59">
        <f t="shared" si="79"/>
        <v>50</v>
      </c>
      <c r="Q51" s="59">
        <f t="shared" si="79"/>
        <v>50</v>
      </c>
      <c r="R51" s="59">
        <f t="shared" si="79"/>
        <v>50</v>
      </c>
      <c r="S51" s="59">
        <f t="shared" si="79"/>
        <v>50</v>
      </c>
    </row>
    <row r="52" spans="2:19" x14ac:dyDescent="0.3">
      <c r="D52" t="s">
        <v>182</v>
      </c>
      <c r="F52" t="s">
        <v>401</v>
      </c>
      <c r="H52" s="54">
        <f>Historical!H48</f>
        <v>740.96</v>
      </c>
      <c r="I52" s="54">
        <f>Historical!I48</f>
        <v>1091.49</v>
      </c>
      <c r="J52" s="54">
        <f>Historical!J48</f>
        <v>1367.49</v>
      </c>
      <c r="K52" s="54">
        <f>Historical!K48</f>
        <v>1193.18</v>
      </c>
      <c r="L52" s="54">
        <f>Historical!L48</f>
        <v>1181.22</v>
      </c>
      <c r="M52" s="54">
        <f>Historical!M48</f>
        <v>1236.51</v>
      </c>
      <c r="N52" s="59">
        <f>N17*-N27/365</f>
        <v>1488.0424643014437</v>
      </c>
      <c r="O52" s="59">
        <f t="shared" ref="O52:S52" si="80">O17*-O27/365</f>
        <v>1611.3688683976463</v>
      </c>
      <c r="P52" s="59">
        <f t="shared" si="80"/>
        <v>1731.5616046142204</v>
      </c>
      <c r="Q52" s="59">
        <f t="shared" si="80"/>
        <v>1847.8037749459525</v>
      </c>
      <c r="R52" s="59">
        <f t="shared" si="80"/>
        <v>1959.4448788587788</v>
      </c>
      <c r="S52" s="59">
        <f t="shared" si="80"/>
        <v>2065.9925183150699</v>
      </c>
    </row>
    <row r="53" spans="2:19" x14ac:dyDescent="0.3">
      <c r="D53" t="s">
        <v>202</v>
      </c>
      <c r="F53" t="s">
        <v>401</v>
      </c>
      <c r="H53" s="54">
        <f>Historical!H50</f>
        <v>1008.77</v>
      </c>
      <c r="I53" s="54">
        <f>Historical!I50</f>
        <v>1393.25</v>
      </c>
      <c r="J53" s="54">
        <f>Historical!J50</f>
        <v>833.73</v>
      </c>
      <c r="K53" s="54">
        <f>Historical!K50</f>
        <v>1800.99</v>
      </c>
      <c r="L53" s="54">
        <f>Historical!L50</f>
        <v>1696.51</v>
      </c>
      <c r="M53" s="54">
        <f>Historical!M50</f>
        <v>1111.6400000000001</v>
      </c>
      <c r="N53" s="59">
        <f>M53</f>
        <v>1111.6400000000001</v>
      </c>
      <c r="O53" s="59">
        <f t="shared" ref="O53:S53" si="81">N53</f>
        <v>1111.6400000000001</v>
      </c>
      <c r="P53" s="59">
        <f t="shared" si="81"/>
        <v>1111.6400000000001</v>
      </c>
      <c r="Q53" s="59">
        <f t="shared" si="81"/>
        <v>1111.6400000000001</v>
      </c>
      <c r="R53" s="59">
        <f t="shared" si="81"/>
        <v>1111.6400000000001</v>
      </c>
      <c r="S53" s="59">
        <f t="shared" si="81"/>
        <v>1111.6400000000001</v>
      </c>
    </row>
    <row r="54" spans="2:19" x14ac:dyDescent="0.3">
      <c r="D54" t="s">
        <v>183</v>
      </c>
      <c r="F54" t="s">
        <v>401</v>
      </c>
      <c r="H54" s="54">
        <f>SUM(Historical!H55,Historical!H56,Historical!H57)</f>
        <v>371.91999999999996</v>
      </c>
      <c r="I54" s="54">
        <f>SUM(Historical!I55,Historical!I56,Historical!I57)</f>
        <v>519.77</v>
      </c>
      <c r="J54" s="54">
        <f>SUM(Historical!J55,Historical!J56,Historical!J57)</f>
        <v>566.25</v>
      </c>
      <c r="K54" s="54">
        <f>SUM(Historical!K55,Historical!K56,Historical!K57)</f>
        <v>665.06000000000006</v>
      </c>
      <c r="L54" s="54">
        <f>SUM(Historical!L55,Historical!L56,Historical!L57)</f>
        <v>671.25</v>
      </c>
      <c r="M54" s="54">
        <f>SUM(Historical!M55,Historical!M56,Historical!M57)</f>
        <v>754.44</v>
      </c>
      <c r="N54" s="59">
        <f>M54</f>
        <v>754.44</v>
      </c>
      <c r="O54" s="59">
        <f t="shared" ref="O54:S54" si="82">N54</f>
        <v>754.44</v>
      </c>
      <c r="P54" s="59">
        <f t="shared" si="82"/>
        <v>754.44</v>
      </c>
      <c r="Q54" s="59">
        <f t="shared" si="82"/>
        <v>754.44</v>
      </c>
      <c r="R54" s="59">
        <f t="shared" si="82"/>
        <v>754.44</v>
      </c>
      <c r="S54" s="59">
        <f t="shared" si="82"/>
        <v>754.44</v>
      </c>
    </row>
    <row r="55" spans="2:19" x14ac:dyDescent="0.3">
      <c r="C55" s="22" t="s">
        <v>184</v>
      </c>
      <c r="H55" s="54"/>
      <c r="I55" s="54"/>
      <c r="J55" s="54"/>
      <c r="K55" s="54"/>
      <c r="L55" s="54"/>
      <c r="M55" s="54"/>
      <c r="N55" s="59"/>
      <c r="O55" s="59"/>
      <c r="P55" s="59"/>
      <c r="Q55" s="59"/>
      <c r="R55" s="59"/>
      <c r="S55" s="59"/>
    </row>
    <row r="56" spans="2:19" x14ac:dyDescent="0.3">
      <c r="D56" t="s">
        <v>185</v>
      </c>
      <c r="F56" t="s">
        <v>401</v>
      </c>
      <c r="H56" s="54">
        <f>Historical!H33+Historical!H34+Historical!H35+Historical!H37</f>
        <v>1778.7599999999998</v>
      </c>
      <c r="I56" s="54">
        <f>Historical!I33+Historical!I34+Historical!I35+Historical!I37</f>
        <v>1773.57</v>
      </c>
      <c r="J56" s="54">
        <f>Historical!J33+Historical!J34+Historical!J35+Historical!J37</f>
        <v>2149.2799999999997</v>
      </c>
      <c r="K56" s="54">
        <f>Historical!K33+Historical!K34+Historical!K35+Historical!K37</f>
        <v>2632.14</v>
      </c>
      <c r="L56" s="54">
        <f>Historical!L33+Historical!L34+Historical!L35+Historical!L37</f>
        <v>2828.86</v>
      </c>
      <c r="M56" s="54">
        <f>Historical!M33+Historical!M34+Historical!M35+Historical!M37</f>
        <v>2860.2200000000003</v>
      </c>
      <c r="N56" s="59">
        <f>N121</f>
        <v>3022.4396912946286</v>
      </c>
      <c r="O56" s="59">
        <f>O121</f>
        <v>3272.9343026160791</v>
      </c>
      <c r="P56" s="59">
        <f t="shared" ref="P56:S56" si="83">P121</f>
        <v>3517.0639597067561</v>
      </c>
      <c r="Q56" s="59">
        <f t="shared" si="83"/>
        <v>3753.1694189537079</v>
      </c>
      <c r="R56" s="59">
        <f t="shared" si="83"/>
        <v>3979.9294152179809</v>
      </c>
      <c r="S56" s="59">
        <f t="shared" si="83"/>
        <v>4196.3438134842436</v>
      </c>
    </row>
    <row r="57" spans="2:19" x14ac:dyDescent="0.3">
      <c r="D57" t="s">
        <v>33</v>
      </c>
      <c r="F57" t="s">
        <v>401</v>
      </c>
      <c r="H57" s="54">
        <f>Historical!H36</f>
        <v>138.97</v>
      </c>
      <c r="I57" s="54">
        <f>Historical!I36</f>
        <v>135.9</v>
      </c>
      <c r="J57" s="54">
        <f>Historical!J36</f>
        <v>139.61000000000001</v>
      </c>
      <c r="K57" s="54">
        <f>Historical!K36</f>
        <v>128.16</v>
      </c>
      <c r="L57" s="54">
        <f>Historical!L36</f>
        <v>129.82</v>
      </c>
      <c r="M57" s="54">
        <f>Historical!M36</f>
        <v>132.78</v>
      </c>
      <c r="N57" s="59">
        <f>M57</f>
        <v>132.78</v>
      </c>
      <c r="O57" s="59">
        <f t="shared" ref="O57:S57" si="84">N57</f>
        <v>132.78</v>
      </c>
      <c r="P57" s="59">
        <f t="shared" si="84"/>
        <v>132.78</v>
      </c>
      <c r="Q57" s="59">
        <f t="shared" si="84"/>
        <v>132.78</v>
      </c>
      <c r="R57" s="59">
        <f t="shared" si="84"/>
        <v>132.78</v>
      </c>
      <c r="S57" s="59">
        <f t="shared" si="84"/>
        <v>132.78</v>
      </c>
    </row>
    <row r="58" spans="2:19" x14ac:dyDescent="0.3">
      <c r="D58" t="s">
        <v>186</v>
      </c>
      <c r="F58" t="s">
        <v>401</v>
      </c>
      <c r="H58" s="54">
        <f>SUM(Historical!H40:H42)</f>
        <v>2117.2599999999998</v>
      </c>
      <c r="I58" s="54">
        <f>SUM(Historical!I40:I42)</f>
        <v>1489.8600000000001</v>
      </c>
      <c r="J58" s="54">
        <f>SUM(Historical!J40:J42)</f>
        <v>1058.3499999999999</v>
      </c>
      <c r="K58" s="54">
        <f>SUM(Historical!K40:K42)</f>
        <v>1201.6599999999999</v>
      </c>
      <c r="L58" s="54">
        <f>SUM(Historical!L40:L42)</f>
        <v>601.35</v>
      </c>
      <c r="M58" s="54">
        <f>SUM(Historical!M40:M42)</f>
        <v>1323.3600000000001</v>
      </c>
      <c r="N58" s="59">
        <f>M58</f>
        <v>1323.3600000000001</v>
      </c>
      <c r="O58" s="59">
        <f t="shared" ref="O58:S58" si="85">N58</f>
        <v>1323.3600000000001</v>
      </c>
      <c r="P58" s="59">
        <f t="shared" si="85"/>
        <v>1323.3600000000001</v>
      </c>
      <c r="Q58" s="59">
        <f t="shared" si="85"/>
        <v>1323.3600000000001</v>
      </c>
      <c r="R58" s="59">
        <f t="shared" si="85"/>
        <v>1323.3600000000001</v>
      </c>
      <c r="S58" s="59">
        <f t="shared" si="85"/>
        <v>1323.3600000000001</v>
      </c>
    </row>
    <row r="59" spans="2:19" x14ac:dyDescent="0.3">
      <c r="D59" t="s">
        <v>265</v>
      </c>
      <c r="F59" t="s">
        <v>401</v>
      </c>
      <c r="H59" s="54">
        <f>Historical!H38</f>
        <v>1.48</v>
      </c>
      <c r="I59" s="54">
        <f>Historical!I38</f>
        <v>2.29</v>
      </c>
      <c r="J59" s="54">
        <f>Historical!J38</f>
        <v>2.09</v>
      </c>
      <c r="K59" s="54">
        <f>Historical!K38</f>
        <v>495.16</v>
      </c>
      <c r="L59" s="54">
        <f>Historical!L38</f>
        <v>494.36</v>
      </c>
      <c r="M59" s="54">
        <f>Historical!M38</f>
        <v>483.62</v>
      </c>
      <c r="N59" s="59">
        <f>M59</f>
        <v>483.62</v>
      </c>
      <c r="O59" s="59">
        <f t="shared" ref="O59:S59" si="86">N59</f>
        <v>483.62</v>
      </c>
      <c r="P59" s="59">
        <f t="shared" si="86"/>
        <v>483.62</v>
      </c>
      <c r="Q59" s="59">
        <f t="shared" si="86"/>
        <v>483.62</v>
      </c>
      <c r="R59" s="59">
        <f t="shared" si="86"/>
        <v>483.62</v>
      </c>
      <c r="S59" s="59">
        <f t="shared" si="86"/>
        <v>483.62</v>
      </c>
    </row>
    <row r="60" spans="2:19" x14ac:dyDescent="0.3">
      <c r="D60" t="s">
        <v>187</v>
      </c>
      <c r="F60" t="s">
        <v>401</v>
      </c>
      <c r="H60" s="54">
        <f>SUM(Historical!H43:H45)</f>
        <v>130.79</v>
      </c>
      <c r="I60" s="54">
        <f>SUM(Historical!I43:I45)</f>
        <v>187.48000000000002</v>
      </c>
      <c r="J60" s="54">
        <f>SUM(Historical!J43:J45)</f>
        <v>195.78</v>
      </c>
      <c r="K60" s="54">
        <f>SUM(Historical!K43:K45)</f>
        <v>149.44999999999999</v>
      </c>
      <c r="L60" s="54">
        <f>SUM(Historical!L43:L45)</f>
        <v>170.51000000000002</v>
      </c>
      <c r="M60" s="54">
        <f>SUM(Historical!M43:M45)</f>
        <v>124.94999999999999</v>
      </c>
      <c r="N60" s="59">
        <f>M60</f>
        <v>124.94999999999999</v>
      </c>
      <c r="O60" s="59">
        <f>N60</f>
        <v>124.94999999999999</v>
      </c>
      <c r="P60" s="59">
        <f t="shared" ref="P60:S60" si="87">O60</f>
        <v>124.94999999999999</v>
      </c>
      <c r="Q60" s="59">
        <f t="shared" si="87"/>
        <v>124.94999999999999</v>
      </c>
      <c r="R60" s="59">
        <f t="shared" si="87"/>
        <v>124.94999999999999</v>
      </c>
      <c r="S60" s="59">
        <f t="shared" si="87"/>
        <v>124.94999999999999</v>
      </c>
    </row>
    <row r="61" spans="2:19" ht="15" thickBot="1" x14ac:dyDescent="0.35">
      <c r="D61" s="34" t="s">
        <v>188</v>
      </c>
      <c r="E61" s="34"/>
      <c r="F61" s="34" t="s">
        <v>401</v>
      </c>
      <c r="G61" s="34"/>
      <c r="H61" s="57">
        <f>SUM(H48:H60)</f>
        <v>7842.2299999999987</v>
      </c>
      <c r="I61" s="57">
        <f t="shared" ref="I61:N61" si="88">SUM(I48:I60)</f>
        <v>8008.7800000000007</v>
      </c>
      <c r="J61" s="57">
        <f t="shared" si="88"/>
        <v>7527.4099999999989</v>
      </c>
      <c r="K61" s="57">
        <f t="shared" si="88"/>
        <v>9352.7200000000012</v>
      </c>
      <c r="L61" s="57">
        <f t="shared" si="88"/>
        <v>9073.5600000000013</v>
      </c>
      <c r="M61" s="57">
        <f t="shared" si="88"/>
        <v>8838.5500000000011</v>
      </c>
      <c r="N61" s="57">
        <f t="shared" si="88"/>
        <v>9623.6751731263957</v>
      </c>
      <c r="O61" s="57">
        <f t="shared" ref="O61" si="89">SUM(O48:O60)</f>
        <v>10527.373085275329</v>
      </c>
      <c r="P61" s="57">
        <f t="shared" ref="P61" si="90">SUM(P48:P60)</f>
        <v>11479.913741985412</v>
      </c>
      <c r="Q61" s="57">
        <f t="shared" ref="Q61" si="91">SUM(Q48:Q60)</f>
        <v>12478.657684882395</v>
      </c>
      <c r="R61" s="57">
        <f t="shared" ref="R61" si="92">SUM(R48:R60)</f>
        <v>13520.077540675651</v>
      </c>
      <c r="S61" s="57">
        <f t="shared" ref="S61" si="93">SUM(S48:S60)</f>
        <v>14601.231950679708</v>
      </c>
    </row>
    <row r="62" spans="2:19" ht="15" thickTop="1" x14ac:dyDescent="0.3">
      <c r="H62" s="56"/>
      <c r="I62" s="56"/>
      <c r="J62" s="56"/>
      <c r="K62" s="56"/>
      <c r="L62" s="56"/>
      <c r="M62" s="56"/>
    </row>
    <row r="63" spans="2:19" x14ac:dyDescent="0.3">
      <c r="B63" s="22" t="s">
        <v>63</v>
      </c>
      <c r="H63" s="56"/>
      <c r="I63" s="56"/>
      <c r="J63" s="56"/>
      <c r="K63" s="56"/>
      <c r="L63" s="56"/>
      <c r="M63" s="56"/>
    </row>
    <row r="64" spans="2:19" x14ac:dyDescent="0.3">
      <c r="C64" s="22" t="s">
        <v>189</v>
      </c>
      <c r="H64" s="56"/>
      <c r="I64" s="56"/>
      <c r="J64" s="56"/>
      <c r="K64" s="56"/>
      <c r="L64" s="56"/>
      <c r="M64" s="56"/>
    </row>
    <row r="65" spans="1:19" x14ac:dyDescent="0.3">
      <c r="D65" t="s">
        <v>190</v>
      </c>
      <c r="F65" t="s">
        <v>401</v>
      </c>
      <c r="H65" s="54">
        <f>SUM(Historical!H80:H82)</f>
        <v>1047</v>
      </c>
      <c r="I65" s="54">
        <f>SUM(Historical!I80:I83)</f>
        <v>1670.76</v>
      </c>
      <c r="J65" s="54">
        <f>SUM(Historical!J80:J83)</f>
        <v>1716.77</v>
      </c>
      <c r="K65" s="54">
        <f>SUM(Historical!K80:K83)</f>
        <v>1945.0200000000002</v>
      </c>
      <c r="L65" s="54">
        <f>SUM(Historical!L80:L83)</f>
        <v>2124.88</v>
      </c>
      <c r="M65" s="54">
        <f>SUM(Historical!M80:M83)</f>
        <v>2181.5700000000002</v>
      </c>
      <c r="N65" s="59">
        <f>N18*N27/-365</f>
        <v>2311.348955216426</v>
      </c>
      <c r="O65" s="59">
        <f t="shared" ref="O65:S65" si="94">O18*O27/-365</f>
        <v>2502.9095874542786</v>
      </c>
      <c r="P65" s="59">
        <f t="shared" si="94"/>
        <v>2689.6027510860022</v>
      </c>
      <c r="Q65" s="59">
        <f t="shared" si="94"/>
        <v>2870.1595734845268</v>
      </c>
      <c r="R65" s="59">
        <f t="shared" si="94"/>
        <v>3043.5696441502564</v>
      </c>
      <c r="S65" s="59">
        <f t="shared" si="94"/>
        <v>3209.0681302796056</v>
      </c>
    </row>
    <row r="66" spans="1:19" x14ac:dyDescent="0.3">
      <c r="D66" t="s">
        <v>191</v>
      </c>
      <c r="F66" t="s">
        <v>401</v>
      </c>
      <c r="H66" s="54">
        <f>SUM(Historical!H83:H86)</f>
        <v>783.47</v>
      </c>
      <c r="I66" s="54">
        <f>SUM(Historical!I84:I86)</f>
        <v>604.09</v>
      </c>
      <c r="J66" s="54">
        <f>SUM(Historical!J84:J86)</f>
        <v>669.92</v>
      </c>
      <c r="K66" s="54">
        <f>SUM(Historical!K84:K86)</f>
        <v>758.17000000000007</v>
      </c>
      <c r="L66" s="54">
        <f>SUM(Historical!L84:L86)</f>
        <v>819.42000000000007</v>
      </c>
      <c r="M66" s="54">
        <f>SUM(Historical!M84:M86)</f>
        <v>922.56999999999994</v>
      </c>
      <c r="N66" s="59">
        <f>M66</f>
        <v>922.56999999999994</v>
      </c>
      <c r="O66" s="59">
        <f t="shared" ref="O66:S66" si="95">N66</f>
        <v>922.56999999999994</v>
      </c>
      <c r="P66" s="59">
        <f t="shared" si="95"/>
        <v>922.56999999999994</v>
      </c>
      <c r="Q66" s="59">
        <f t="shared" si="95"/>
        <v>922.56999999999994</v>
      </c>
      <c r="R66" s="59">
        <f t="shared" si="95"/>
        <v>922.56999999999994</v>
      </c>
      <c r="S66" s="59">
        <f t="shared" si="95"/>
        <v>922.56999999999994</v>
      </c>
    </row>
    <row r="67" spans="1:19" x14ac:dyDescent="0.3">
      <c r="C67" s="22" t="s">
        <v>192</v>
      </c>
      <c r="H67" s="54"/>
      <c r="I67" s="54"/>
      <c r="J67" s="54"/>
      <c r="K67" s="54"/>
      <c r="L67" s="54"/>
      <c r="M67" s="54"/>
      <c r="N67" s="59"/>
      <c r="O67" s="59"/>
      <c r="P67" s="59"/>
      <c r="Q67" s="59"/>
      <c r="R67" s="59"/>
      <c r="S67" s="59"/>
    </row>
    <row r="68" spans="1:19" x14ac:dyDescent="0.3">
      <c r="D68" t="s">
        <v>193</v>
      </c>
      <c r="F68" t="s">
        <v>401</v>
      </c>
      <c r="H68" s="54">
        <f>Historical!H70+Historical!H71+Historical!H78+Historical!H79</f>
        <v>1514.05</v>
      </c>
      <c r="I68" s="54">
        <f>Historical!I70+Historical!I71+Historical!I78+Historical!I79</f>
        <v>2087.17</v>
      </c>
      <c r="J68" s="54">
        <f>Historical!J70+Historical!J71+Historical!J78+Historical!J79</f>
        <v>2481.2000000000003</v>
      </c>
      <c r="K68" s="54">
        <f>Historical!K70+Historical!K71+Historical!K78+Historical!K79</f>
        <v>2997.37</v>
      </c>
      <c r="L68" s="54">
        <f>Historical!L70+Historical!L71+Historical!L78+Historical!L79</f>
        <v>2064.96</v>
      </c>
      <c r="M68" s="54">
        <f>Historical!M70+Historical!M71+Historical!M78+Historical!M79</f>
        <v>1246.51</v>
      </c>
      <c r="N68" s="59">
        <f>M68</f>
        <v>1246.51</v>
      </c>
      <c r="O68" s="59">
        <f t="shared" ref="O68:S68" si="96">N68</f>
        <v>1246.51</v>
      </c>
      <c r="P68" s="59">
        <f t="shared" si="96"/>
        <v>1246.51</v>
      </c>
      <c r="Q68" s="59">
        <f t="shared" si="96"/>
        <v>1246.51</v>
      </c>
      <c r="R68" s="59">
        <f t="shared" si="96"/>
        <v>1246.51</v>
      </c>
      <c r="S68" s="59">
        <f t="shared" si="96"/>
        <v>1246.51</v>
      </c>
    </row>
    <row r="69" spans="1:19" x14ac:dyDescent="0.3">
      <c r="D69" t="s">
        <v>194</v>
      </c>
      <c r="F69" t="s">
        <v>401</v>
      </c>
      <c r="H69" s="54">
        <f>Historical!H74+Historical!H72+Historical!H73</f>
        <v>59.23</v>
      </c>
      <c r="I69" s="54">
        <f>Historical!I74+Historical!I72+Historical!I73</f>
        <v>62.76</v>
      </c>
      <c r="J69" s="54">
        <f>Historical!J74+Historical!J72+Historical!J73</f>
        <v>73.92</v>
      </c>
      <c r="K69" s="54">
        <f>Historical!K74+Historical!K72+Historical!K73</f>
        <v>87.66</v>
      </c>
      <c r="L69" s="54">
        <f>Historical!L74+Historical!L72+Historical!L73</f>
        <v>98.28</v>
      </c>
      <c r="M69" s="54">
        <f>Historical!M74+Historical!M72+Historical!M73</f>
        <v>106.58</v>
      </c>
      <c r="N69" s="59">
        <f>M69</f>
        <v>106.58</v>
      </c>
      <c r="O69" s="59">
        <f t="shared" ref="O69:S69" si="97">N69</f>
        <v>106.58</v>
      </c>
      <c r="P69" s="59">
        <f t="shared" si="97"/>
        <v>106.58</v>
      </c>
      <c r="Q69" s="59">
        <f t="shared" si="97"/>
        <v>106.58</v>
      </c>
      <c r="R69" s="59">
        <f t="shared" si="97"/>
        <v>106.58</v>
      </c>
      <c r="S69" s="59">
        <f t="shared" si="97"/>
        <v>106.58</v>
      </c>
    </row>
    <row r="70" spans="1:19" x14ac:dyDescent="0.3">
      <c r="D70" s="32" t="s">
        <v>195</v>
      </c>
      <c r="E70" s="32"/>
      <c r="F70" s="32" t="s">
        <v>401</v>
      </c>
      <c r="G70" s="32"/>
      <c r="H70" s="55">
        <f>SUM(H65:H69)</f>
        <v>3403.75</v>
      </c>
      <c r="I70" s="55">
        <f t="shared" ref="I70:N70" si="98">SUM(I65:I69)</f>
        <v>4424.7800000000007</v>
      </c>
      <c r="J70" s="55">
        <f t="shared" si="98"/>
        <v>4941.8100000000004</v>
      </c>
      <c r="K70" s="55">
        <f t="shared" si="98"/>
        <v>5788.22</v>
      </c>
      <c r="L70" s="55">
        <f t="shared" si="98"/>
        <v>5107.54</v>
      </c>
      <c r="M70" s="55">
        <f t="shared" si="98"/>
        <v>4457.2300000000005</v>
      </c>
      <c r="N70" s="55">
        <f t="shared" si="98"/>
        <v>4587.0089552164263</v>
      </c>
      <c r="O70" s="55">
        <f t="shared" ref="O70" si="99">SUM(O65:O69)</f>
        <v>4778.5695874542789</v>
      </c>
      <c r="P70" s="55">
        <f t="shared" ref="P70" si="100">SUM(P65:P69)</f>
        <v>4965.262751086002</v>
      </c>
      <c r="Q70" s="55">
        <f t="shared" ref="Q70" si="101">SUM(Q65:Q69)</f>
        <v>5145.8195734845267</v>
      </c>
      <c r="R70" s="55">
        <f t="shared" ref="R70" si="102">SUM(R65:R69)</f>
        <v>5319.2296441502567</v>
      </c>
      <c r="S70" s="55">
        <f t="shared" ref="S70" si="103">SUM(S65:S69)</f>
        <v>5484.7281302796055</v>
      </c>
    </row>
    <row r="71" spans="1:19" x14ac:dyDescent="0.3">
      <c r="C71" s="22" t="s">
        <v>196</v>
      </c>
      <c r="H71" s="56"/>
      <c r="I71" s="56"/>
      <c r="J71" s="56"/>
      <c r="K71" s="56"/>
      <c r="L71" s="56"/>
      <c r="M71" s="56"/>
    </row>
    <row r="72" spans="1:19" x14ac:dyDescent="0.3">
      <c r="D72" t="s">
        <v>197</v>
      </c>
      <c r="F72" t="s">
        <v>401</v>
      </c>
      <c r="H72" s="54">
        <f>Historical!H62</f>
        <v>24.05</v>
      </c>
      <c r="I72" s="54">
        <f>Historical!I62</f>
        <v>24.09</v>
      </c>
      <c r="J72" s="54">
        <f>Historical!J62</f>
        <v>24.09</v>
      </c>
      <c r="K72" s="54">
        <f>Historical!K62</f>
        <v>24.09</v>
      </c>
      <c r="L72" s="54">
        <f>Historical!L62</f>
        <v>24.09</v>
      </c>
      <c r="M72" s="54">
        <f>Historical!M62</f>
        <v>24.09</v>
      </c>
      <c r="N72" s="59">
        <f>M72</f>
        <v>24.09</v>
      </c>
      <c r="O72" s="59">
        <f t="shared" ref="O72:S72" si="104">N72</f>
        <v>24.09</v>
      </c>
      <c r="P72" s="59">
        <f t="shared" si="104"/>
        <v>24.09</v>
      </c>
      <c r="Q72" s="59">
        <f t="shared" si="104"/>
        <v>24.09</v>
      </c>
      <c r="R72" s="59">
        <f t="shared" si="104"/>
        <v>24.09</v>
      </c>
      <c r="S72" s="59">
        <f t="shared" si="104"/>
        <v>24.09</v>
      </c>
    </row>
    <row r="73" spans="1:19" x14ac:dyDescent="0.3">
      <c r="D73" t="s">
        <v>198</v>
      </c>
      <c r="F73" t="s">
        <v>401</v>
      </c>
      <c r="H73" s="54">
        <f>Historical!H63</f>
        <v>4378.78</v>
      </c>
      <c r="I73" s="54">
        <f>Historical!I63</f>
        <v>3523.57</v>
      </c>
      <c r="J73" s="54">
        <f>Historical!J63</f>
        <v>2534.0100000000002</v>
      </c>
      <c r="K73" s="54">
        <f>Historical!K63</f>
        <v>3510.18</v>
      </c>
      <c r="L73" s="54">
        <f>Historical!L63</f>
        <v>3917.43</v>
      </c>
      <c r="M73" s="54">
        <f>Historical!M63</f>
        <v>4331.63</v>
      </c>
      <c r="N73" s="59">
        <f>M73+N42+N101</f>
        <v>4986.976217909968</v>
      </c>
      <c r="O73" s="59">
        <f t="shared" ref="O73:S73" si="105">N73+O42+O101</f>
        <v>5699.1134978210466</v>
      </c>
      <c r="P73" s="59">
        <f t="shared" si="105"/>
        <v>6464.9609908994053</v>
      </c>
      <c r="Q73" s="59">
        <f t="shared" si="105"/>
        <v>7283.1481113978643</v>
      </c>
      <c r="R73" s="59">
        <f t="shared" si="105"/>
        <v>8151.1578965253902</v>
      </c>
      <c r="S73" s="59">
        <f t="shared" si="105"/>
        <v>9066.8138204001007</v>
      </c>
    </row>
    <row r="74" spans="1:19" x14ac:dyDescent="0.3">
      <c r="D74" s="38" t="s">
        <v>199</v>
      </c>
      <c r="E74" s="32"/>
      <c r="F74" s="32" t="s">
        <v>401</v>
      </c>
      <c r="G74" s="32"/>
      <c r="H74" s="55">
        <f>SUM(H72:H73)</f>
        <v>4402.83</v>
      </c>
      <c r="I74" s="55">
        <f t="shared" ref="I74:N74" si="106">SUM(I72:I73)</f>
        <v>3547.6600000000003</v>
      </c>
      <c r="J74" s="55">
        <f t="shared" si="106"/>
        <v>2558.1000000000004</v>
      </c>
      <c r="K74" s="55">
        <f t="shared" si="106"/>
        <v>3534.27</v>
      </c>
      <c r="L74" s="55">
        <f t="shared" si="106"/>
        <v>3941.52</v>
      </c>
      <c r="M74" s="55">
        <f t="shared" si="106"/>
        <v>4355.72</v>
      </c>
      <c r="N74" s="55">
        <f t="shared" si="106"/>
        <v>5011.0662179099681</v>
      </c>
      <c r="O74" s="55">
        <f t="shared" ref="O74" si="107">SUM(O72:O73)</f>
        <v>5723.2034978210468</v>
      </c>
      <c r="P74" s="55">
        <f t="shared" ref="P74" si="108">SUM(P72:P73)</f>
        <v>6489.0509908994054</v>
      </c>
      <c r="Q74" s="55">
        <f t="shared" ref="Q74" si="109">SUM(Q72:Q73)</f>
        <v>7307.2381113978645</v>
      </c>
      <c r="R74" s="55">
        <f t="shared" ref="R74" si="110">SUM(R72:R73)</f>
        <v>8175.2478965253904</v>
      </c>
      <c r="S74" s="55">
        <f t="shared" ref="S74" si="111">SUM(S72:S73)</f>
        <v>9090.9038204001008</v>
      </c>
    </row>
    <row r="75" spans="1:19" x14ac:dyDescent="0.3">
      <c r="D75" t="s">
        <v>200</v>
      </c>
      <c r="F75" t="s">
        <v>401</v>
      </c>
      <c r="H75" s="54">
        <f>Historical!H65</f>
        <v>35.65</v>
      </c>
      <c r="I75" s="54">
        <f>Historical!I65</f>
        <v>36.340000000000003</v>
      </c>
      <c r="J75" s="54">
        <f>Historical!J65</f>
        <v>27.5</v>
      </c>
      <c r="K75" s="54">
        <f>Historical!K65</f>
        <v>30.23</v>
      </c>
      <c r="L75" s="54">
        <f>Historical!L65</f>
        <v>24.5</v>
      </c>
      <c r="M75" s="54">
        <f>Historical!M65</f>
        <v>25.6</v>
      </c>
      <c r="N75" s="59">
        <f>M75</f>
        <v>25.6</v>
      </c>
      <c r="O75" s="59">
        <f t="shared" ref="O75:S75" si="112">N75</f>
        <v>25.6</v>
      </c>
      <c r="P75" s="59">
        <f t="shared" si="112"/>
        <v>25.6</v>
      </c>
      <c r="Q75" s="59">
        <f t="shared" si="112"/>
        <v>25.6</v>
      </c>
      <c r="R75" s="59">
        <f t="shared" si="112"/>
        <v>25.6</v>
      </c>
      <c r="S75" s="59">
        <f t="shared" si="112"/>
        <v>25.6</v>
      </c>
    </row>
    <row r="76" spans="1:19" ht="15" thickBot="1" x14ac:dyDescent="0.35">
      <c r="D76" s="34" t="s">
        <v>201</v>
      </c>
      <c r="E76" s="34"/>
      <c r="F76" s="34" t="s">
        <v>401</v>
      </c>
      <c r="G76" s="34"/>
      <c r="H76" s="57">
        <f>SUM(H74:H75,H70)</f>
        <v>7842.23</v>
      </c>
      <c r="I76" s="57">
        <f t="shared" ref="I76:M76" si="113">SUM(I74:I75,I70)</f>
        <v>8008.7800000000007</v>
      </c>
      <c r="J76" s="57">
        <f t="shared" si="113"/>
        <v>7527.4100000000008</v>
      </c>
      <c r="K76" s="57">
        <f t="shared" si="113"/>
        <v>9352.7200000000012</v>
      </c>
      <c r="L76" s="57">
        <f t="shared" si="113"/>
        <v>9073.56</v>
      </c>
      <c r="M76" s="57">
        <f t="shared" si="113"/>
        <v>8838.5500000000011</v>
      </c>
      <c r="N76" s="57">
        <f>SUM(N74:N75,N70)</f>
        <v>9623.6751731263939</v>
      </c>
      <c r="O76" s="57">
        <f t="shared" ref="O76" si="114">SUM(O74:O75,O70)</f>
        <v>10527.373085275325</v>
      </c>
      <c r="P76" s="57">
        <f t="shared" ref="P76" si="115">SUM(P74:P75,P70)</f>
        <v>11479.913741985409</v>
      </c>
      <c r="Q76" s="57">
        <f t="shared" ref="Q76" si="116">SUM(Q74:Q75,Q70)</f>
        <v>12478.657684882392</v>
      </c>
      <c r="R76" s="57">
        <f t="shared" ref="R76" si="117">SUM(R74:R75,R70)</f>
        <v>13520.077540675647</v>
      </c>
      <c r="S76" s="57">
        <f t="shared" ref="S76" si="118">SUM(S74:S75,S70)</f>
        <v>14601.231950679707</v>
      </c>
    </row>
    <row r="77" spans="1:19" ht="15" thickTop="1" x14ac:dyDescent="0.3">
      <c r="D77" t="s">
        <v>203</v>
      </c>
      <c r="H77" s="56">
        <f>H76-H61</f>
        <v>0</v>
      </c>
      <c r="I77" s="56">
        <f t="shared" ref="I77:S77" si="119">I76-I61</f>
        <v>0</v>
      </c>
      <c r="J77" s="56">
        <f t="shared" si="119"/>
        <v>0</v>
      </c>
      <c r="K77" s="56">
        <f t="shared" si="119"/>
        <v>0</v>
      </c>
      <c r="L77" s="56">
        <f t="shared" si="119"/>
        <v>0</v>
      </c>
      <c r="M77" s="56">
        <f t="shared" si="119"/>
        <v>0</v>
      </c>
      <c r="N77" s="36">
        <f t="shared" si="119"/>
        <v>0</v>
      </c>
      <c r="O77" s="36">
        <f t="shared" si="119"/>
        <v>0</v>
      </c>
      <c r="P77" s="36">
        <f t="shared" si="119"/>
        <v>0</v>
      </c>
      <c r="Q77" s="36">
        <f t="shared" si="119"/>
        <v>0</v>
      </c>
      <c r="R77" s="36">
        <f t="shared" si="119"/>
        <v>0</v>
      </c>
      <c r="S77" s="36">
        <f t="shared" si="119"/>
        <v>0</v>
      </c>
    </row>
    <row r="78" spans="1:19" ht="19.8" x14ac:dyDescent="0.4">
      <c r="A78" s="18" t="s">
        <v>157</v>
      </c>
      <c r="B78" s="19"/>
      <c r="C78" s="19"/>
      <c r="D78" s="12"/>
      <c r="E78" s="12"/>
      <c r="F78" s="12"/>
      <c r="G78" s="12"/>
      <c r="H78" s="58"/>
      <c r="I78" s="58"/>
      <c r="J78" s="58"/>
      <c r="K78" s="58"/>
      <c r="L78" s="58"/>
      <c r="M78" s="58"/>
      <c r="N78" s="20"/>
      <c r="O78" s="21"/>
      <c r="P78" s="21"/>
      <c r="Q78" s="21"/>
      <c r="R78" s="21"/>
      <c r="S78" s="21"/>
    </row>
    <row r="79" spans="1:19" x14ac:dyDescent="0.3">
      <c r="H79" s="56"/>
      <c r="I79" s="56"/>
      <c r="J79" s="56"/>
      <c r="K79" s="56"/>
      <c r="L79" s="56"/>
      <c r="M79" s="56"/>
    </row>
    <row r="80" spans="1:19" x14ac:dyDescent="0.3">
      <c r="B80" s="22" t="s">
        <v>204</v>
      </c>
      <c r="H80" s="56"/>
      <c r="I80" s="56"/>
      <c r="J80" s="56"/>
      <c r="K80" s="56"/>
      <c r="L80" s="56"/>
      <c r="M80" s="56"/>
    </row>
    <row r="81" spans="2:19" x14ac:dyDescent="0.3">
      <c r="D81" t="s">
        <v>205</v>
      </c>
      <c r="F81" t="s">
        <v>401</v>
      </c>
      <c r="H81" s="54">
        <f>Historical!H94</f>
        <v>1843.86</v>
      </c>
      <c r="I81" s="54">
        <f>Historical!I94</f>
        <v>2512.8000000000002</v>
      </c>
      <c r="J81" s="54">
        <f>Historical!J94</f>
        <v>2078.5300000000002</v>
      </c>
      <c r="K81" s="54">
        <f>Historical!K94</f>
        <v>3027.36</v>
      </c>
      <c r="L81" s="54">
        <f>Historical!L94</f>
        <v>2916.66</v>
      </c>
      <c r="M81" s="54">
        <f>Historical!M94</f>
        <v>2937.31</v>
      </c>
      <c r="N81" s="56">
        <f>N40</f>
        <v>3347.3625500116391</v>
      </c>
      <c r="O81" s="56">
        <f t="shared" ref="O81:S81" si="120">O40</f>
        <v>3637.438648602968</v>
      </c>
      <c r="P81" s="56">
        <f t="shared" si="120"/>
        <v>3911.7784573878184</v>
      </c>
      <c r="Q81" s="56">
        <f t="shared" si="120"/>
        <v>4179.1176193751326</v>
      </c>
      <c r="R81" s="56">
        <f t="shared" si="120"/>
        <v>4433.6006958976559</v>
      </c>
      <c r="S81" s="56">
        <f t="shared" si="120"/>
        <v>4676.9665628795738</v>
      </c>
    </row>
    <row r="82" spans="2:19" x14ac:dyDescent="0.3">
      <c r="D82" t="s">
        <v>206</v>
      </c>
      <c r="F82" t="s">
        <v>401</v>
      </c>
      <c r="H82" s="54">
        <f>Historical!H95</f>
        <v>184.81</v>
      </c>
      <c r="I82" s="54">
        <f>Historical!I95</f>
        <v>197.85</v>
      </c>
      <c r="J82" s="54">
        <f>Historical!J95</f>
        <v>200.54</v>
      </c>
      <c r="K82" s="54">
        <f>Historical!K95</f>
        <v>225.91</v>
      </c>
      <c r="L82" s="54">
        <f>Historical!L95</f>
        <v>300.45999999999998</v>
      </c>
      <c r="M82" s="54">
        <f>Historical!M95</f>
        <v>313.33999999999997</v>
      </c>
      <c r="N82">
        <f>N11*M56</f>
        <v>317.16438394794301</v>
      </c>
      <c r="O82">
        <f t="shared" ref="O82:S82" si="121">O11*N56</f>
        <v>335.15261857803659</v>
      </c>
      <c r="P82">
        <f t="shared" si="121"/>
        <v>362.92949206400874</v>
      </c>
      <c r="Q82">
        <f t="shared" si="121"/>
        <v>390.00056781852663</v>
      </c>
      <c r="R82">
        <f t="shared" si="121"/>
        <v>416.18185545682218</v>
      </c>
      <c r="S82">
        <f t="shared" si="121"/>
        <v>441.3268423876163</v>
      </c>
    </row>
    <row r="83" spans="2:19" x14ac:dyDescent="0.3">
      <c r="D83" t="s">
        <v>207</v>
      </c>
      <c r="F83" t="s">
        <v>401</v>
      </c>
      <c r="H83" s="54">
        <f>Historical!H96+Historical!H101+Historical!H100</f>
        <v>-78.290000000000006</v>
      </c>
      <c r="I83" s="54">
        <f>Historical!I96+Historical!I101+Historical!I100</f>
        <v>-104.82</v>
      </c>
      <c r="J83" s="54">
        <f>Historical!J96+Historical!J101+Historical!J100</f>
        <v>-35.53</v>
      </c>
      <c r="K83" s="54">
        <f>Historical!K96+Historical!K101+Historical!K100</f>
        <v>11.539999999999992</v>
      </c>
      <c r="L83" s="54">
        <f>Historical!L96+Historical!L101+Historical!L100</f>
        <v>-14.75</v>
      </c>
      <c r="M83" s="54">
        <f>Historical!M96+Historical!M101+Historical!M100</f>
        <v>6</v>
      </c>
      <c r="N83" s="56">
        <f>-N35</f>
        <v>82.883709740623971</v>
      </c>
      <c r="O83" s="56">
        <f t="shared" ref="O83:S83" si="122">-O35</f>
        <v>82.883709740623971</v>
      </c>
      <c r="P83" s="56">
        <f t="shared" si="122"/>
        <v>82.883709740623971</v>
      </c>
      <c r="Q83" s="56">
        <f t="shared" si="122"/>
        <v>82.883709740623971</v>
      </c>
      <c r="R83" s="56">
        <f t="shared" si="122"/>
        <v>82.883709740623971</v>
      </c>
      <c r="S83" s="56">
        <f t="shared" si="122"/>
        <v>82.883709740623971</v>
      </c>
    </row>
    <row r="84" spans="2:19" x14ac:dyDescent="0.3">
      <c r="D84" t="s">
        <v>208</v>
      </c>
      <c r="F84" t="s">
        <v>401</v>
      </c>
      <c r="H84" s="54">
        <f>Historical!H98+Historical!H99+Historical!H97</f>
        <v>-89.99</v>
      </c>
      <c r="I84" s="54">
        <f>Historical!I98+Historical!I99+Historical!I97</f>
        <v>-65.8</v>
      </c>
      <c r="J84" s="54">
        <f>Historical!J98+Historical!J99+Historical!J97</f>
        <v>-29.86</v>
      </c>
      <c r="K84" s="54">
        <f>Historical!K98+Historical!K99+Historical!K97</f>
        <v>-418.51</v>
      </c>
      <c r="L84" s="54">
        <f>Historical!L98+Historical!L99+Historical!L97</f>
        <v>-25.62</v>
      </c>
      <c r="M84" s="54">
        <f>Historical!M98+Historical!M99+Historical!M97</f>
        <v>-82.589999999999989</v>
      </c>
      <c r="N84" s="56">
        <f>-N39</f>
        <v>-334.2205276844461</v>
      </c>
      <c r="O84" s="56">
        <f t="shared" ref="O84:S84" si="123">-O39</f>
        <v>-361.92015107779315</v>
      </c>
      <c r="P84" s="56">
        <f t="shared" si="123"/>
        <v>-388.91593962943159</v>
      </c>
      <c r="Q84" s="56">
        <f t="shared" si="123"/>
        <v>-415.02441464912465</v>
      </c>
      <c r="R84" s="56">
        <f t="shared" si="123"/>
        <v>-440.09947101086317</v>
      </c>
      <c r="S84" s="56">
        <f t="shared" si="123"/>
        <v>-464.03051406703759</v>
      </c>
    </row>
    <row r="85" spans="2:19" x14ac:dyDescent="0.3">
      <c r="D85" t="s">
        <v>209</v>
      </c>
      <c r="F85" t="s">
        <v>401</v>
      </c>
      <c r="H85" s="54">
        <f>SUM(Historical!H102:H106)</f>
        <v>127.39000000000001</v>
      </c>
      <c r="I85" s="54">
        <f>SUM(Historical!I102:I106)</f>
        <v>-56.150000000000034</v>
      </c>
      <c r="J85" s="54">
        <f>SUM(Historical!J102:J106)</f>
        <v>-327.25</v>
      </c>
      <c r="K85" s="54">
        <f>SUM(Historical!K102:K106)</f>
        <v>405.66</v>
      </c>
      <c r="L85" s="54">
        <f>SUM(Historical!L102:L106)</f>
        <v>161.1</v>
      </c>
      <c r="M85" s="54">
        <f>SUM(Historical!M102:M106)</f>
        <v>-4.1999999999999886</v>
      </c>
      <c r="N85" s="56">
        <f>N115</f>
        <v>-128.14318251858896</v>
      </c>
      <c r="O85" s="56">
        <f t="shared" ref="O85:S85" si="124">O115</f>
        <v>30.524636556942653</v>
      </c>
      <c r="P85" s="56">
        <f t="shared" si="124"/>
        <v>29.749019414638383</v>
      </c>
      <c r="Q85" s="56">
        <f t="shared" si="124"/>
        <v>28.771211063597207</v>
      </c>
      <c r="R85" s="56">
        <f t="shared" si="124"/>
        <v>27.632396701493121</v>
      </c>
      <c r="S85" s="56">
        <f t="shared" si="124"/>
        <v>26.371708428848933</v>
      </c>
    </row>
    <row r="86" spans="2:19" x14ac:dyDescent="0.3">
      <c r="C86" s="38" t="s">
        <v>210</v>
      </c>
      <c r="D86" s="32"/>
      <c r="E86" s="33"/>
      <c r="F86" s="33" t="s">
        <v>401</v>
      </c>
      <c r="G86" s="33"/>
      <c r="H86" s="55">
        <f>SUM(H81:H85)</f>
        <v>1987.78</v>
      </c>
      <c r="I86" s="55">
        <f t="shared" ref="I86:N86" si="125">SUM(I81:I85)</f>
        <v>2483.8799999999997</v>
      </c>
      <c r="J86" s="55">
        <f t="shared" si="125"/>
        <v>1886.4299999999998</v>
      </c>
      <c r="K86" s="55">
        <f t="shared" si="125"/>
        <v>3251.96</v>
      </c>
      <c r="L86" s="55">
        <f t="shared" si="125"/>
        <v>3337.85</v>
      </c>
      <c r="M86" s="55">
        <f t="shared" si="125"/>
        <v>3169.86</v>
      </c>
      <c r="N86" s="55">
        <f t="shared" si="125"/>
        <v>3285.0469334971708</v>
      </c>
      <c r="O86" s="55">
        <f t="shared" ref="O86" si="126">SUM(O81:O85)</f>
        <v>3724.0794624007785</v>
      </c>
      <c r="P86" s="55">
        <f t="shared" ref="P86" si="127">SUM(P81:P85)</f>
        <v>3998.4247389776583</v>
      </c>
      <c r="Q86" s="55">
        <f t="shared" ref="Q86" si="128">SUM(Q81:Q85)</f>
        <v>4265.7486933487553</v>
      </c>
      <c r="R86" s="55">
        <f t="shared" ref="R86" si="129">SUM(R81:R85)</f>
        <v>4520.1991867857314</v>
      </c>
      <c r="S86" s="55">
        <f t="shared" ref="S86" si="130">SUM(S81:S85)</f>
        <v>4763.5183093696251</v>
      </c>
    </row>
    <row r="87" spans="2:19" x14ac:dyDescent="0.3">
      <c r="D87" t="s">
        <v>211</v>
      </c>
      <c r="F87" t="s">
        <v>401</v>
      </c>
      <c r="H87" s="54">
        <f>Historical!H108</f>
        <v>-503.25</v>
      </c>
      <c r="I87" s="54">
        <f>Historical!I108</f>
        <v>-632.80999999999995</v>
      </c>
      <c r="J87" s="54">
        <f>Historical!J108</f>
        <v>-586.91</v>
      </c>
      <c r="K87" s="54">
        <f>Historical!K108</f>
        <v>-725.75</v>
      </c>
      <c r="L87" s="54">
        <f>Historical!L108</f>
        <v>-764.87</v>
      </c>
      <c r="M87" s="54">
        <f>Historical!M108</f>
        <v>-689.21</v>
      </c>
      <c r="N87" s="56">
        <f>N41</f>
        <v>-858.19273251033349</v>
      </c>
      <c r="O87" s="56">
        <f t="shared" ref="O87:S87" si="131">O41</f>
        <v>-932.56208927007981</v>
      </c>
      <c r="P87" s="56">
        <f t="shared" si="131"/>
        <v>-1002.8969952206212</v>
      </c>
      <c r="Q87" s="56">
        <f t="shared" si="131"/>
        <v>-1071.4370838740351</v>
      </c>
      <c r="R87" s="56">
        <f t="shared" si="131"/>
        <v>-1136.6811449984393</v>
      </c>
      <c r="S87" s="56">
        <f t="shared" si="131"/>
        <v>-1199.0749894848193</v>
      </c>
    </row>
    <row r="88" spans="2:19" x14ac:dyDescent="0.3">
      <c r="B88" s="22"/>
      <c r="C88" s="38" t="s">
        <v>212</v>
      </c>
      <c r="D88" s="33"/>
      <c r="E88" s="33"/>
      <c r="F88" s="33" t="s">
        <v>401</v>
      </c>
      <c r="G88" s="33"/>
      <c r="H88" s="55">
        <f>SUM(H86:H87)</f>
        <v>1484.53</v>
      </c>
      <c r="I88" s="55">
        <f t="shared" ref="I88:N88" si="132">SUM(I86:I87)</f>
        <v>1851.0699999999997</v>
      </c>
      <c r="J88" s="55">
        <f t="shared" si="132"/>
        <v>1299.52</v>
      </c>
      <c r="K88" s="55">
        <f t="shared" si="132"/>
        <v>2526.21</v>
      </c>
      <c r="L88" s="55">
        <f t="shared" si="132"/>
        <v>2572.98</v>
      </c>
      <c r="M88" s="55">
        <f t="shared" si="132"/>
        <v>2480.65</v>
      </c>
      <c r="N88" s="55">
        <f t="shared" si="132"/>
        <v>2426.8542009868374</v>
      </c>
      <c r="O88" s="55">
        <f t="shared" ref="O88" si="133">SUM(O86:O87)</f>
        <v>2791.5173731306986</v>
      </c>
      <c r="P88" s="55">
        <f t="shared" ref="P88" si="134">SUM(P86:P87)</f>
        <v>2995.5277437570371</v>
      </c>
      <c r="Q88" s="55">
        <f t="shared" ref="Q88" si="135">SUM(Q86:Q87)</f>
        <v>3194.3116094747202</v>
      </c>
      <c r="R88" s="55">
        <f t="shared" ref="R88" si="136">SUM(R86:R87)</f>
        <v>3383.5180417872921</v>
      </c>
      <c r="S88" s="55">
        <f t="shared" ref="S88" si="137">SUM(S86:S87)</f>
        <v>3564.4433198848055</v>
      </c>
    </row>
    <row r="89" spans="2:19" x14ac:dyDescent="0.3">
      <c r="H89" s="56"/>
      <c r="I89" s="56"/>
      <c r="J89" s="56"/>
      <c r="K89" s="56"/>
      <c r="L89" s="56"/>
      <c r="M89" s="56"/>
    </row>
    <row r="90" spans="2:19" x14ac:dyDescent="0.3">
      <c r="C90" s="22" t="s">
        <v>213</v>
      </c>
      <c r="H90" s="56"/>
      <c r="I90" s="56"/>
      <c r="J90" s="56"/>
      <c r="K90" s="56"/>
      <c r="L90" s="56"/>
      <c r="M90" s="56"/>
    </row>
    <row r="91" spans="2:19" x14ac:dyDescent="0.3">
      <c r="D91" t="s">
        <v>214</v>
      </c>
      <c r="F91" t="s">
        <v>401</v>
      </c>
      <c r="H91" s="54">
        <f>SUM(Historical!H111,Historical!H113)</f>
        <v>-244.17</v>
      </c>
      <c r="I91" s="54">
        <f>SUM(Historical!I111,Historical!I113)</f>
        <v>-242.07</v>
      </c>
      <c r="J91" s="54">
        <f>SUM(Historical!J111,Historical!J113)</f>
        <v>-550.17999999999995</v>
      </c>
      <c r="K91" s="54">
        <f>SUM(Historical!K111,Historical!K113)</f>
        <v>-712.91000000000008</v>
      </c>
      <c r="L91" s="54">
        <f>SUM(Historical!L111,Historical!L113)</f>
        <v>-743.77</v>
      </c>
      <c r="M91" s="54">
        <f>SUM(Historical!M111,Historical!M113)</f>
        <v>-1319.9</v>
      </c>
      <c r="N91" s="56">
        <f>-N119</f>
        <v>-479.38407524257133</v>
      </c>
      <c r="O91" s="56">
        <f t="shared" ref="O91:S91" si="138">-O119</f>
        <v>-585.64722989948712</v>
      </c>
      <c r="P91" s="56">
        <f t="shared" si="138"/>
        <v>-607.05914915468577</v>
      </c>
      <c r="Q91" s="56">
        <f t="shared" si="138"/>
        <v>-626.10602706547843</v>
      </c>
      <c r="R91" s="56">
        <f t="shared" si="138"/>
        <v>-642.94185172109519</v>
      </c>
      <c r="S91" s="56">
        <f t="shared" si="138"/>
        <v>-657.741240653879</v>
      </c>
    </row>
    <row r="92" spans="2:19" x14ac:dyDescent="0.3">
      <c r="D92" t="s">
        <v>215</v>
      </c>
      <c r="F92" t="s">
        <v>401</v>
      </c>
      <c r="H92" s="54">
        <f>Historical!H112+Historical!H114</f>
        <v>0.73</v>
      </c>
      <c r="I92" s="54">
        <f>Historical!I112+Historical!I114</f>
        <v>2.17</v>
      </c>
      <c r="J92" s="54">
        <f>Historical!J112+Historical!J114</f>
        <v>3.16</v>
      </c>
      <c r="K92" s="54">
        <f>Historical!K112+Historical!K114</f>
        <v>78.430000000000007</v>
      </c>
      <c r="L92" s="54">
        <f>Historical!L112+Historical!L114</f>
        <v>358.74</v>
      </c>
      <c r="M92" s="54">
        <f>Historical!M112+Historical!M114</f>
        <v>576.74</v>
      </c>
      <c r="N92" s="56">
        <v>0</v>
      </c>
      <c r="O92" s="56">
        <v>0</v>
      </c>
      <c r="P92" s="56">
        <v>0</v>
      </c>
      <c r="Q92" s="56">
        <v>0</v>
      </c>
      <c r="R92" s="56">
        <v>0</v>
      </c>
      <c r="S92" s="56">
        <v>0</v>
      </c>
    </row>
    <row r="93" spans="2:19" x14ac:dyDescent="0.3">
      <c r="D93" t="s">
        <v>216</v>
      </c>
      <c r="F93" t="s">
        <v>401</v>
      </c>
      <c r="H93" s="54">
        <f>Historical!H116+Historical!H119+Historical!H120+Historical!H118</f>
        <v>-89.170000000000073</v>
      </c>
      <c r="I93" s="54">
        <f>Historical!I116+Historical!I119+Historical!I120+Historical!I118</f>
        <v>288.91000000000008</v>
      </c>
      <c r="J93" s="54">
        <f>Historical!J116+Historical!J119+Historical!J120+Historical!J118</f>
        <v>393.28</v>
      </c>
      <c r="K93" s="54">
        <f>Historical!K116+Historical!K119+Historical!K120+Historical!K118</f>
        <v>439.57000000000005</v>
      </c>
      <c r="L93" s="54">
        <f>Historical!L116+Historical!L119+Historical!L120+Historical!L118</f>
        <v>250</v>
      </c>
      <c r="M93" s="54">
        <f>Historical!M116+Historical!M119+Historical!M120+Historical!M118</f>
        <v>385</v>
      </c>
      <c r="N93" s="56">
        <v>0</v>
      </c>
      <c r="O93" s="56">
        <v>0</v>
      </c>
      <c r="P93" s="56">
        <v>0</v>
      </c>
      <c r="Q93" s="56">
        <v>0</v>
      </c>
      <c r="R93" s="56">
        <v>0</v>
      </c>
      <c r="S93" s="56">
        <v>0</v>
      </c>
    </row>
    <row r="94" spans="2:19" x14ac:dyDescent="0.3">
      <c r="D94" t="s">
        <v>217</v>
      </c>
      <c r="F94" t="s">
        <v>401</v>
      </c>
      <c r="H94" s="54">
        <f>Historical!H115+Historical!H117</f>
        <v>-1326.63</v>
      </c>
      <c r="I94" s="54">
        <f>Historical!I115+Historical!I117</f>
        <v>178.82</v>
      </c>
      <c r="J94" s="54">
        <f>Historical!J115+Historical!J117</f>
        <v>856.19</v>
      </c>
      <c r="K94" s="54">
        <f>Historical!K115+Historical!K117</f>
        <v>-1468.1399999999999</v>
      </c>
      <c r="L94" s="54">
        <f>Historical!L115+Historical!L117</f>
        <v>476.87</v>
      </c>
      <c r="M94" s="54">
        <f>Historical!M115+Historical!M117</f>
        <v>347.31</v>
      </c>
      <c r="N94" s="56">
        <v>0</v>
      </c>
      <c r="O94" s="56">
        <v>0</v>
      </c>
      <c r="P94" s="56">
        <v>0</v>
      </c>
      <c r="Q94" s="56">
        <v>0</v>
      </c>
      <c r="R94" s="56">
        <v>0</v>
      </c>
      <c r="S94" s="56">
        <v>0</v>
      </c>
    </row>
    <row r="95" spans="2:19" x14ac:dyDescent="0.3">
      <c r="D95" t="s">
        <v>218</v>
      </c>
      <c r="F95" t="s">
        <v>401</v>
      </c>
      <c r="H95" s="54">
        <f>Historical!H122+Historical!H121</f>
        <v>127.62</v>
      </c>
      <c r="I95" s="54">
        <f>Historical!I122+Historical!I121</f>
        <v>233.43</v>
      </c>
      <c r="J95" s="54">
        <f>Historical!J122+Historical!J121</f>
        <v>208.44</v>
      </c>
      <c r="K95" s="54">
        <f>Historical!K122+Historical!K121</f>
        <v>145.99</v>
      </c>
      <c r="L95" s="54">
        <f>Historical!L122+Historical!L121</f>
        <v>142.31</v>
      </c>
      <c r="M95" s="54">
        <f>Historical!M122+Historical!M121</f>
        <v>95.210000000000008</v>
      </c>
      <c r="N95" s="56">
        <f>N39</f>
        <v>334.2205276844461</v>
      </c>
      <c r="O95" s="56">
        <f t="shared" ref="O95:S95" si="139">O39</f>
        <v>361.92015107779315</v>
      </c>
      <c r="P95" s="56">
        <f t="shared" si="139"/>
        <v>388.91593962943159</v>
      </c>
      <c r="Q95" s="56">
        <f t="shared" si="139"/>
        <v>415.02441464912465</v>
      </c>
      <c r="R95" s="56">
        <f t="shared" si="139"/>
        <v>440.09947101086317</v>
      </c>
      <c r="S95" s="56">
        <f t="shared" si="139"/>
        <v>464.03051406703759</v>
      </c>
    </row>
    <row r="96" spans="2:19" x14ac:dyDescent="0.3">
      <c r="D96" s="32" t="s">
        <v>219</v>
      </c>
      <c r="E96" s="32"/>
      <c r="F96" s="32" t="s">
        <v>401</v>
      </c>
      <c r="G96" s="32"/>
      <c r="H96" s="55">
        <f>SUM(H91:H95)</f>
        <v>-1531.6200000000003</v>
      </c>
      <c r="I96" s="55">
        <f t="shared" ref="I96:N96" si="140">SUM(I91:I95)</f>
        <v>461.2600000000001</v>
      </c>
      <c r="J96" s="55">
        <f t="shared" si="140"/>
        <v>910.8900000000001</v>
      </c>
      <c r="K96" s="55">
        <f t="shared" si="140"/>
        <v>-1517.0599999999997</v>
      </c>
      <c r="L96" s="55">
        <f t="shared" si="140"/>
        <v>484.15000000000003</v>
      </c>
      <c r="M96" s="55">
        <f t="shared" si="140"/>
        <v>84.359999999999928</v>
      </c>
      <c r="N96" s="55">
        <f t="shared" si="140"/>
        <v>-145.16354755812523</v>
      </c>
      <c r="O96" s="55">
        <f t="shared" ref="O96" si="141">SUM(O91:O95)</f>
        <v>-223.72707882169396</v>
      </c>
      <c r="P96" s="55">
        <f t="shared" ref="P96" si="142">SUM(P91:P95)</f>
        <v>-218.14320952525418</v>
      </c>
      <c r="Q96" s="55">
        <f t="shared" ref="Q96" si="143">SUM(Q91:Q95)</f>
        <v>-211.08161241635378</v>
      </c>
      <c r="R96" s="55">
        <f t="shared" ref="R96" si="144">SUM(R91:R95)</f>
        <v>-202.84238071023202</v>
      </c>
      <c r="S96" s="55">
        <f t="shared" ref="S96" si="145">SUM(S91:S95)</f>
        <v>-193.71072658684142</v>
      </c>
    </row>
    <row r="97" spans="1:19" x14ac:dyDescent="0.3">
      <c r="H97" s="56"/>
      <c r="I97" s="56"/>
      <c r="J97" s="56"/>
      <c r="K97" s="56"/>
      <c r="L97" s="56"/>
      <c r="M97" s="56"/>
    </row>
    <row r="98" spans="1:19" x14ac:dyDescent="0.3">
      <c r="C98" s="22" t="s">
        <v>220</v>
      </c>
      <c r="H98" s="56"/>
      <c r="I98" s="56"/>
      <c r="J98" s="56"/>
      <c r="K98" s="56"/>
      <c r="L98" s="56"/>
      <c r="M98" s="56"/>
    </row>
    <row r="99" spans="1:19" x14ac:dyDescent="0.3">
      <c r="D99" t="s">
        <v>221</v>
      </c>
      <c r="F99" t="s">
        <v>401</v>
      </c>
      <c r="H99" s="54">
        <f>SUM(Historical!H126:H129,Historical!H137)</f>
        <v>-871.18</v>
      </c>
      <c r="I99" s="54">
        <f>SUM(Historical!I126:I129,Historical!I137)</f>
        <v>-2.5499999999999998</v>
      </c>
      <c r="J99" s="54">
        <f>SUM(Historical!J126:J129,Historical!J137)</f>
        <v>-985.56999999999994</v>
      </c>
      <c r="K99" s="54">
        <f>SUM(Historical!K126:K129,Historical!K137)</f>
        <v>-793.94</v>
      </c>
      <c r="L99" s="54">
        <f>SUM(Historical!L126:L129,Historical!L137)</f>
        <v>-115.55</v>
      </c>
      <c r="M99" s="54">
        <f>SUM(Historical!M126:M129,Historical!M137)</f>
        <v>-850.63</v>
      </c>
      <c r="N99" s="56">
        <v>0</v>
      </c>
      <c r="O99" s="56">
        <v>0</v>
      </c>
      <c r="P99" s="56">
        <v>0</v>
      </c>
      <c r="Q99" s="56">
        <v>0</v>
      </c>
      <c r="R99" s="56">
        <v>0</v>
      </c>
      <c r="S99" s="56">
        <v>0</v>
      </c>
    </row>
    <row r="100" spans="1:19" x14ac:dyDescent="0.3">
      <c r="D100" t="s">
        <v>114</v>
      </c>
      <c r="F100" t="s">
        <v>401</v>
      </c>
      <c r="H100" s="54">
        <f>Historical!H125+Historical!H132+Historical!H134+Historical!H133</f>
        <v>1385.64</v>
      </c>
      <c r="I100" s="54">
        <f>Historical!I125+Historical!I132+Historical!I134+Historical!I133</f>
        <v>670.94999999999993</v>
      </c>
      <c r="J100" s="54">
        <f>Historical!J125+Historical!J132+Historical!J134+Historical!J133</f>
        <v>1343.87</v>
      </c>
      <c r="K100" s="54">
        <f>Historical!K125+Historical!K132+Historical!K134+Historical!K133</f>
        <v>1312.0900000000001</v>
      </c>
      <c r="L100" s="54">
        <f>Historical!L125+Historical!L132+Historical!L134+Historical!L133</f>
        <v>-826.64</v>
      </c>
      <c r="M100" s="54">
        <f>Historical!M125+Historical!M132+Historical!M134+Historical!M133</f>
        <v>26.26</v>
      </c>
      <c r="N100" s="56">
        <v>0</v>
      </c>
      <c r="O100" s="56">
        <v>0</v>
      </c>
      <c r="P100" s="56">
        <v>0</v>
      </c>
      <c r="Q100" s="56">
        <v>0</v>
      </c>
      <c r="R100" s="56">
        <v>0</v>
      </c>
      <c r="S100" s="56">
        <v>0</v>
      </c>
    </row>
    <row r="101" spans="1:19" x14ac:dyDescent="0.3">
      <c r="D101" t="s">
        <v>222</v>
      </c>
      <c r="F101" t="s">
        <v>401</v>
      </c>
      <c r="H101" s="54">
        <f>SUM(Historical!H136)</f>
        <v>-432.53</v>
      </c>
      <c r="I101" s="54">
        <f>SUM(Historical!I136)</f>
        <v>-2823.75</v>
      </c>
      <c r="J101" s="54">
        <f>SUM(Historical!J136)</f>
        <v>-2484.88</v>
      </c>
      <c r="K101" s="54">
        <f>SUM(Historical!K136)</f>
        <v>-1359.24</v>
      </c>
      <c r="L101" s="54">
        <f>SUM(Historical!L136)</f>
        <v>-1732.47</v>
      </c>
      <c r="M101" s="54">
        <f>SUM(Historical!M136)</f>
        <v>-1767.54</v>
      </c>
      <c r="N101" s="56">
        <f>-N42*N15</f>
        <v>-1833.8235995913376</v>
      </c>
      <c r="O101" s="56">
        <f t="shared" ref="O101:S101" si="146">-O42*O15</f>
        <v>-1992.7392794218094</v>
      </c>
      <c r="P101" s="56">
        <f t="shared" si="146"/>
        <v>-2143.0339690888386</v>
      </c>
      <c r="Q101" s="56">
        <f t="shared" si="146"/>
        <v>-2289.4934150026379</v>
      </c>
      <c r="R101" s="56">
        <f t="shared" si="146"/>
        <v>-2428.9097657716902</v>
      </c>
      <c r="S101" s="56">
        <f t="shared" si="146"/>
        <v>-2562.2356495200443</v>
      </c>
    </row>
    <row r="102" spans="1:19" x14ac:dyDescent="0.3">
      <c r="D102" t="s">
        <v>223</v>
      </c>
      <c r="F102" t="s">
        <v>401</v>
      </c>
      <c r="H102" s="54">
        <f>SUM(Historical!H131,Historical!H130,Historical!H135)</f>
        <v>-23.990000000000002</v>
      </c>
      <c r="I102" s="54">
        <f>SUM(Historical!I131,Historical!I130,Historical!I135)</f>
        <v>-88.34</v>
      </c>
      <c r="J102" s="54">
        <f>SUM(Historical!J131,Historical!J130,Historical!J135)</f>
        <v>-119.26</v>
      </c>
      <c r="K102" s="54">
        <f>SUM(Historical!K131,Historical!K130,Historical!K135)</f>
        <v>-187.28</v>
      </c>
      <c r="L102" s="54">
        <f>SUM(Historical!L131,Historical!L130,Historical!L135)</f>
        <v>-164.47</v>
      </c>
      <c r="M102" s="54">
        <f>SUM(Historical!M131,Historical!M130,Historical!M135)</f>
        <v>-169.95</v>
      </c>
      <c r="N102" s="56">
        <f>N127</f>
        <v>-82.883709740623971</v>
      </c>
      <c r="O102" s="56">
        <f t="shared" ref="O102:S102" si="147">O127</f>
        <v>-82.883709740623971</v>
      </c>
      <c r="P102" s="56">
        <f t="shared" si="147"/>
        <v>-82.883709740623971</v>
      </c>
      <c r="Q102" s="56">
        <f t="shared" si="147"/>
        <v>-82.883709740623971</v>
      </c>
      <c r="R102" s="56">
        <f t="shared" si="147"/>
        <v>-82.883709740623971</v>
      </c>
      <c r="S102" s="56">
        <f t="shared" si="147"/>
        <v>-82.883709740623971</v>
      </c>
    </row>
    <row r="103" spans="1:19" x14ac:dyDescent="0.3">
      <c r="D103" s="32" t="s">
        <v>224</v>
      </c>
      <c r="E103" s="32"/>
      <c r="F103" s="32" t="s">
        <v>401</v>
      </c>
      <c r="G103" s="32"/>
      <c r="H103" s="55">
        <f>SUM(H99:H102)</f>
        <v>57.940000000000175</v>
      </c>
      <c r="I103" s="55">
        <f t="shared" ref="I103:N103" si="148">SUM(I99:I102)</f>
        <v>-2243.69</v>
      </c>
      <c r="J103" s="55">
        <f t="shared" si="148"/>
        <v>-2245.84</v>
      </c>
      <c r="K103" s="55">
        <f>SUM(K99:K102)</f>
        <v>-1028.3699999999999</v>
      </c>
      <c r="L103" s="55">
        <f t="shared" si="148"/>
        <v>-2839.1299999999997</v>
      </c>
      <c r="M103" s="55">
        <f t="shared" si="148"/>
        <v>-2761.8599999999997</v>
      </c>
      <c r="N103" s="55">
        <f t="shared" si="148"/>
        <v>-1916.7073093319616</v>
      </c>
      <c r="O103" s="55">
        <f t="shared" ref="O103" si="149">SUM(O99:O102)</f>
        <v>-2075.6229891624334</v>
      </c>
      <c r="P103" s="55">
        <f t="shared" ref="P103" si="150">SUM(P99:P102)</f>
        <v>-2225.9176788294626</v>
      </c>
      <c r="Q103" s="55">
        <f t="shared" ref="Q103" si="151">SUM(Q99:Q102)</f>
        <v>-2372.3771247432619</v>
      </c>
      <c r="R103" s="55">
        <f t="shared" ref="R103" si="152">SUM(R99:R102)</f>
        <v>-2511.7934755123142</v>
      </c>
      <c r="S103" s="55">
        <f t="shared" ref="S103" si="153">SUM(S99:S102)</f>
        <v>-2645.1193592606683</v>
      </c>
    </row>
    <row r="104" spans="1:19" x14ac:dyDescent="0.3">
      <c r="B104" s="22" t="s">
        <v>225</v>
      </c>
      <c r="F104" t="s">
        <v>401</v>
      </c>
      <c r="H104" s="52">
        <f>H103+H96+H88</f>
        <v>10.849999999999909</v>
      </c>
      <c r="I104" s="52">
        <f t="shared" ref="I104:M104" si="154">I103+I96+I88</f>
        <v>68.639999999999873</v>
      </c>
      <c r="J104" s="52">
        <f t="shared" si="154"/>
        <v>-35.430000000000064</v>
      </c>
      <c r="K104" s="52">
        <f>K103+K96+K88</f>
        <v>-19.219999999999345</v>
      </c>
      <c r="L104" s="52">
        <f t="shared" si="154"/>
        <v>218.00000000000045</v>
      </c>
      <c r="M104" s="52">
        <f t="shared" si="154"/>
        <v>-196.84999999999945</v>
      </c>
      <c r="N104" s="52">
        <f>N103+N96+N88</f>
        <v>364.98334409675044</v>
      </c>
      <c r="O104" s="52">
        <f t="shared" ref="O104" si="155">O103+O96+O88</f>
        <v>492.16730514657138</v>
      </c>
      <c r="P104" s="52">
        <f t="shared" ref="P104" si="156">P103+P96+P88</f>
        <v>551.46685540232056</v>
      </c>
      <c r="Q104" s="52">
        <f t="shared" ref="Q104" si="157">Q103+Q96+Q88</f>
        <v>610.85287231510438</v>
      </c>
      <c r="R104" s="52">
        <f t="shared" ref="R104" si="158">R103+R96+R88</f>
        <v>668.88218556474567</v>
      </c>
      <c r="S104" s="52">
        <f t="shared" ref="S104" si="159">S103+S96+S88</f>
        <v>725.61323403729602</v>
      </c>
    </row>
    <row r="105" spans="1:19" x14ac:dyDescent="0.3">
      <c r="D105" t="s">
        <v>226</v>
      </c>
      <c r="F105" t="s">
        <v>401</v>
      </c>
      <c r="H105" s="54">
        <f>Historical!H141+Historical!H142</f>
        <v>64.41</v>
      </c>
      <c r="I105" s="54">
        <f>Historical!I141+Historical!I142</f>
        <v>72.820000000000007</v>
      </c>
      <c r="J105" s="54">
        <f>Historical!J141+Historical!J142</f>
        <v>144.75</v>
      </c>
      <c r="K105" s="54">
        <f>Historical!K141+Historical!K142</f>
        <v>119.38</v>
      </c>
      <c r="L105" s="54">
        <f>Historical!L141+Historical!L142</f>
        <v>101.45</v>
      </c>
      <c r="M105" s="54">
        <f>Historical!M141+Historical!M142</f>
        <v>322.08999999999997</v>
      </c>
      <c r="N105" s="56">
        <f>M48</f>
        <v>132.72</v>
      </c>
      <c r="O105" s="56">
        <f t="shared" ref="O105:S105" si="160">N48</f>
        <v>497.70334409675047</v>
      </c>
      <c r="P105" s="56">
        <f t="shared" si="160"/>
        <v>989.87064924332185</v>
      </c>
      <c r="Q105" s="56">
        <f t="shared" si="160"/>
        <v>1541.3375046456424</v>
      </c>
      <c r="R105" s="56">
        <f t="shared" si="160"/>
        <v>2152.190376960747</v>
      </c>
      <c r="S105" s="56">
        <f t="shared" si="160"/>
        <v>2821.0725625254927</v>
      </c>
    </row>
    <row r="106" spans="1:19" ht="15" thickBot="1" x14ac:dyDescent="0.35">
      <c r="D106" s="34" t="s">
        <v>227</v>
      </c>
      <c r="E106" s="34"/>
      <c r="F106" s="34" t="s">
        <v>401</v>
      </c>
      <c r="G106" s="34"/>
      <c r="H106" s="57">
        <f>SUM(H104:H105)</f>
        <v>75.259999999999906</v>
      </c>
      <c r="I106" s="57">
        <f t="shared" ref="I106:M106" si="161">SUM(I104:I105)</f>
        <v>141.45999999999987</v>
      </c>
      <c r="J106" s="57">
        <f t="shared" si="161"/>
        <v>109.31999999999994</v>
      </c>
      <c r="K106" s="57">
        <f t="shared" si="161"/>
        <v>100.16000000000065</v>
      </c>
      <c r="L106" s="57">
        <f t="shared" si="161"/>
        <v>319.45000000000044</v>
      </c>
      <c r="M106" s="57">
        <f t="shared" si="161"/>
        <v>125.24000000000052</v>
      </c>
      <c r="N106" s="57">
        <f>SUM(N104:N105)</f>
        <v>497.70334409675047</v>
      </c>
      <c r="O106" s="57">
        <f t="shared" ref="O106" si="162">SUM(O104:O105)</f>
        <v>989.87064924332185</v>
      </c>
      <c r="P106" s="57">
        <f t="shared" ref="P106" si="163">SUM(P104:P105)</f>
        <v>1541.3375046456424</v>
      </c>
      <c r="Q106" s="57">
        <f t="shared" ref="Q106" si="164">SUM(Q104:Q105)</f>
        <v>2152.190376960747</v>
      </c>
      <c r="R106" s="57">
        <f t="shared" ref="R106" si="165">SUM(R104:R105)</f>
        <v>2821.0725625254927</v>
      </c>
      <c r="S106" s="57">
        <f t="shared" ref="S106" si="166">SUM(S104:S105)</f>
        <v>3546.6857965627887</v>
      </c>
    </row>
    <row r="107" spans="1:19" ht="15" thickTop="1" x14ac:dyDescent="0.3">
      <c r="H107" s="56"/>
      <c r="I107" s="56"/>
      <c r="J107" s="56"/>
      <c r="K107" s="56"/>
      <c r="L107" s="56"/>
      <c r="M107" s="56"/>
    </row>
    <row r="108" spans="1:19" ht="19.8" x14ac:dyDescent="0.4">
      <c r="A108" s="18" t="s">
        <v>250</v>
      </c>
      <c r="B108" s="19"/>
      <c r="C108" s="19"/>
      <c r="D108" s="12"/>
      <c r="E108" s="12"/>
      <c r="F108" s="12"/>
      <c r="G108" s="12"/>
      <c r="H108" s="58"/>
      <c r="I108" s="58"/>
      <c r="J108" s="58"/>
      <c r="K108" s="58"/>
      <c r="L108" s="58"/>
      <c r="M108" s="58"/>
      <c r="N108" s="20"/>
      <c r="O108" s="21"/>
      <c r="P108" s="21"/>
      <c r="Q108" s="21"/>
      <c r="R108" s="21"/>
      <c r="S108" s="21"/>
    </row>
    <row r="109" spans="1:19" x14ac:dyDescent="0.3">
      <c r="H109" s="56"/>
      <c r="I109" s="56"/>
      <c r="J109" s="56"/>
      <c r="K109" s="56"/>
      <c r="L109" s="56"/>
      <c r="M109" s="56"/>
    </row>
    <row r="110" spans="1:19" x14ac:dyDescent="0.3">
      <c r="C110" s="22" t="s">
        <v>252</v>
      </c>
      <c r="H110" s="56"/>
      <c r="I110" s="56"/>
      <c r="J110" s="56"/>
      <c r="K110" s="56"/>
      <c r="L110" s="56"/>
      <c r="M110" s="56"/>
    </row>
    <row r="111" spans="1:19" x14ac:dyDescent="0.3">
      <c r="D111" t="s">
        <v>253</v>
      </c>
      <c r="F111" t="s">
        <v>401</v>
      </c>
      <c r="H111" s="59">
        <f>Historical!H103</f>
        <v>78.849999999999994</v>
      </c>
      <c r="I111" s="59">
        <f>Historical!I103</f>
        <v>61.4</v>
      </c>
      <c r="J111" s="59">
        <f>Historical!J103</f>
        <v>-72.209999999999994</v>
      </c>
      <c r="K111" s="59">
        <f>Historical!K103</f>
        <v>1.29</v>
      </c>
      <c r="L111" s="59">
        <f>Historical!L103</f>
        <v>-63.65</v>
      </c>
      <c r="M111" s="59">
        <f>Historical!M103</f>
        <v>-53.44</v>
      </c>
      <c r="N111" s="56">
        <f>M50-N50</f>
        <v>-6.3896734335710903</v>
      </c>
      <c r="O111" s="56">
        <f t="shared" ref="O111:S111" si="167">N50-O50</f>
        <v>-37.709591584707312</v>
      </c>
      <c r="P111" s="56">
        <f t="shared" si="167"/>
        <v>-36.751408000511105</v>
      </c>
      <c r="Q111" s="56">
        <f t="shared" si="167"/>
        <v>-35.543441003195426</v>
      </c>
      <c r="R111" s="56">
        <f t="shared" si="167"/>
        <v>-34.136570051410104</v>
      </c>
      <c r="S111" s="56">
        <f t="shared" si="167"/>
        <v>-32.579138244209162</v>
      </c>
    </row>
    <row r="112" spans="1:19" x14ac:dyDescent="0.3">
      <c r="D112" t="s">
        <v>182</v>
      </c>
      <c r="F112" t="s">
        <v>401</v>
      </c>
      <c r="H112" s="59">
        <f>Historical!H102</f>
        <v>42.99</v>
      </c>
      <c r="I112" s="59">
        <f>Historical!I102</f>
        <v>-351.44</v>
      </c>
      <c r="J112" s="59">
        <f>Historical!J102</f>
        <v>-274.76</v>
      </c>
      <c r="K112" s="59">
        <f>Historical!K102</f>
        <v>177.15</v>
      </c>
      <c r="L112" s="59">
        <f>Historical!L102</f>
        <v>12.6</v>
      </c>
      <c r="M112" s="59">
        <f>Historical!M102</f>
        <v>-54.33</v>
      </c>
      <c r="N112" s="56">
        <f>M52-N52</f>
        <v>-251.53246430144372</v>
      </c>
      <c r="O112" s="56">
        <f t="shared" ref="O112:S112" si="168">N52-O52</f>
        <v>-123.32640409620262</v>
      </c>
      <c r="P112" s="56">
        <f t="shared" si="168"/>
        <v>-120.19273621657408</v>
      </c>
      <c r="Q112" s="56">
        <f t="shared" si="168"/>
        <v>-116.24217033173204</v>
      </c>
      <c r="R112" s="56">
        <f t="shared" si="168"/>
        <v>-111.64110391282634</v>
      </c>
      <c r="S112" s="56">
        <f t="shared" si="168"/>
        <v>-106.54763945629111</v>
      </c>
    </row>
    <row r="113" spans="3:19" x14ac:dyDescent="0.3">
      <c r="D113" t="s">
        <v>190</v>
      </c>
      <c r="F113" t="s">
        <v>401</v>
      </c>
      <c r="H113" s="59">
        <f>Historical!H106</f>
        <v>29.21</v>
      </c>
      <c r="I113" s="59">
        <f>Historical!I106</f>
        <v>404.71</v>
      </c>
      <c r="J113" s="59">
        <f>Historical!J106</f>
        <v>64.010000000000005</v>
      </c>
      <c r="K113" s="59">
        <f>Historical!K106</f>
        <v>292.04000000000002</v>
      </c>
      <c r="L113" s="59">
        <f>Historical!L106</f>
        <v>236.67</v>
      </c>
      <c r="M113" s="59">
        <f>Historical!M106</f>
        <v>210.15</v>
      </c>
      <c r="N113" s="56">
        <f>N65-M65</f>
        <v>129.77895521642586</v>
      </c>
      <c r="O113" s="56">
        <f t="shared" ref="O113:S113" si="169">O65-N65</f>
        <v>191.56063223785259</v>
      </c>
      <c r="P113" s="56">
        <f t="shared" si="169"/>
        <v>186.69316363172356</v>
      </c>
      <c r="Q113" s="56">
        <f t="shared" si="169"/>
        <v>180.55682239852467</v>
      </c>
      <c r="R113" s="56">
        <f t="shared" si="169"/>
        <v>173.41007066572956</v>
      </c>
      <c r="S113" s="56">
        <f t="shared" si="169"/>
        <v>165.4984861293492</v>
      </c>
    </row>
    <row r="114" spans="3:19" x14ac:dyDescent="0.3">
      <c r="D114" t="s">
        <v>254</v>
      </c>
      <c r="F114" t="s">
        <v>401</v>
      </c>
      <c r="H114" s="59">
        <f>SUM(Historical!H104:H105)</f>
        <v>-23.66</v>
      </c>
      <c r="I114" s="59">
        <f>SUM(Historical!I104:I105)</f>
        <v>-170.82</v>
      </c>
      <c r="J114" s="59">
        <f>SUM(Historical!J104:J105)</f>
        <v>-44.29</v>
      </c>
      <c r="K114" s="59">
        <f>SUM(Historical!K104:K105)</f>
        <v>-64.819999999999993</v>
      </c>
      <c r="L114" s="59">
        <f>SUM(Historical!L104:L105)</f>
        <v>-24.52</v>
      </c>
      <c r="M114" s="59">
        <f>SUM(Historical!M104:M105)</f>
        <v>-106.58</v>
      </c>
      <c r="N114" s="56">
        <f>N66-M66+N54-M54</f>
        <v>0</v>
      </c>
      <c r="O114" s="56">
        <f t="shared" ref="O114:S114" si="170">O66-N66+O54-N54</f>
        <v>0</v>
      </c>
      <c r="P114" s="56">
        <f t="shared" si="170"/>
        <v>0</v>
      </c>
      <c r="Q114" s="56">
        <f t="shared" si="170"/>
        <v>0</v>
      </c>
      <c r="R114" s="56">
        <f t="shared" si="170"/>
        <v>0</v>
      </c>
      <c r="S114" s="56">
        <f t="shared" si="170"/>
        <v>0</v>
      </c>
    </row>
    <row r="115" spans="3:19" ht="15" thickBot="1" x14ac:dyDescent="0.35">
      <c r="D115" s="34" t="s">
        <v>255</v>
      </c>
      <c r="E115" s="34"/>
      <c r="F115" s="34" t="s">
        <v>401</v>
      </c>
      <c r="G115" s="34"/>
      <c r="H115" s="57">
        <f>SUM(H111:H114)</f>
        <v>127.39000000000001</v>
      </c>
      <c r="I115" s="57">
        <f t="shared" ref="I115:N115" si="171">SUM(I111:I114)</f>
        <v>-56.150000000000034</v>
      </c>
      <c r="J115" s="57">
        <f t="shared" si="171"/>
        <v>-327.25</v>
      </c>
      <c r="K115" s="57">
        <f t="shared" si="171"/>
        <v>405.66</v>
      </c>
      <c r="L115" s="57">
        <f t="shared" si="171"/>
        <v>161.1</v>
      </c>
      <c r="M115" s="57">
        <f t="shared" si="171"/>
        <v>-4.1999999999999886</v>
      </c>
      <c r="N115" s="57">
        <f t="shared" si="171"/>
        <v>-128.14318251858896</v>
      </c>
      <c r="O115" s="57">
        <f t="shared" ref="O115" si="172">SUM(O111:O114)</f>
        <v>30.524636556942653</v>
      </c>
      <c r="P115" s="57">
        <f t="shared" ref="P115" si="173">SUM(P111:P114)</f>
        <v>29.749019414638383</v>
      </c>
      <c r="Q115" s="57">
        <f t="shared" ref="Q115" si="174">SUM(Q111:Q114)</f>
        <v>28.771211063597207</v>
      </c>
      <c r="R115" s="57">
        <f t="shared" ref="R115" si="175">SUM(R111:R114)</f>
        <v>27.632396701493121</v>
      </c>
      <c r="S115" s="57">
        <f t="shared" ref="S115" si="176">SUM(S111:S114)</f>
        <v>26.371708428848933</v>
      </c>
    </row>
    <row r="116" spans="3:19" ht="15" thickTop="1" x14ac:dyDescent="0.3">
      <c r="C116" s="51"/>
      <c r="H116" s="52"/>
      <c r="I116" s="52"/>
      <c r="J116" s="52"/>
      <c r="K116" s="52"/>
      <c r="L116" s="52"/>
      <c r="M116" s="52"/>
    </row>
    <row r="117" spans="3:19" x14ac:dyDescent="0.3">
      <c r="C117" s="22" t="s">
        <v>256</v>
      </c>
      <c r="H117" s="52"/>
      <c r="I117" s="52"/>
      <c r="J117" s="52"/>
      <c r="K117" s="52"/>
      <c r="L117" s="52"/>
      <c r="M117" s="52"/>
    </row>
    <row r="118" spans="3:19" x14ac:dyDescent="0.3">
      <c r="D118" t="s">
        <v>257</v>
      </c>
      <c r="F118" t="s">
        <v>401</v>
      </c>
      <c r="H118" s="59">
        <v>0</v>
      </c>
      <c r="I118" s="59">
        <f>H121</f>
        <v>1778.7599999999998</v>
      </c>
      <c r="J118" s="59">
        <f t="shared" ref="J118:M118" si="177">I121</f>
        <v>1773.57</v>
      </c>
      <c r="K118" s="59">
        <f t="shared" si="177"/>
        <v>2149.2799999999997</v>
      </c>
      <c r="L118" s="59">
        <f t="shared" si="177"/>
        <v>2632.14</v>
      </c>
      <c r="M118" s="59">
        <f t="shared" si="177"/>
        <v>2828.86</v>
      </c>
      <c r="N118" s="56">
        <f>M121</f>
        <v>2860.2200000000003</v>
      </c>
      <c r="O118" s="56">
        <f t="shared" ref="O118:S118" si="178">N121</f>
        <v>3022.4396912946286</v>
      </c>
      <c r="P118" s="56">
        <f t="shared" si="178"/>
        <v>3272.9343026160791</v>
      </c>
      <c r="Q118" s="56">
        <f t="shared" si="178"/>
        <v>3517.0639597067561</v>
      </c>
      <c r="R118" s="56">
        <f t="shared" si="178"/>
        <v>3753.1694189537079</v>
      </c>
      <c r="S118" s="56">
        <f t="shared" si="178"/>
        <v>3979.9294152179809</v>
      </c>
    </row>
    <row r="119" spans="3:19" x14ac:dyDescent="0.3">
      <c r="D119" t="s">
        <v>258</v>
      </c>
      <c r="F119" t="s">
        <v>401</v>
      </c>
      <c r="H119" s="59">
        <v>0</v>
      </c>
      <c r="I119" s="59">
        <f>I121-I118-I120</f>
        <v>192.66000000000017</v>
      </c>
      <c r="J119" s="59">
        <f t="shared" ref="J119:M119" si="179">J121-J118-J120</f>
        <v>576.24999999999977</v>
      </c>
      <c r="K119" s="59">
        <f t="shared" si="179"/>
        <v>708.7700000000001</v>
      </c>
      <c r="L119" s="59">
        <f t="shared" si="179"/>
        <v>497.18000000000023</v>
      </c>
      <c r="M119" s="59">
        <f t="shared" si="179"/>
        <v>344.7000000000001</v>
      </c>
      <c r="N119" s="59">
        <f>N121-N118-N120</f>
        <v>479.38407524257133</v>
      </c>
      <c r="O119" s="59">
        <f t="shared" ref="O119" si="180">O121-O118-O120</f>
        <v>585.64722989948712</v>
      </c>
      <c r="P119" s="59">
        <f t="shared" ref="P119" si="181">P121-P118-P120</f>
        <v>607.05914915468577</v>
      </c>
      <c r="Q119" s="59">
        <f t="shared" ref="Q119" si="182">Q121-Q118-Q120</f>
        <v>626.10602706547843</v>
      </c>
      <c r="R119" s="59">
        <f t="shared" ref="R119" si="183">R121-R118-R120</f>
        <v>642.94185172109519</v>
      </c>
      <c r="S119" s="59">
        <f t="shared" ref="S119" si="184">S121-S118-S120</f>
        <v>657.741240653879</v>
      </c>
    </row>
    <row r="120" spans="3:19" x14ac:dyDescent="0.3">
      <c r="D120" t="s">
        <v>259</v>
      </c>
      <c r="F120" t="s">
        <v>401</v>
      </c>
      <c r="H120" s="59">
        <f>-H82</f>
        <v>-184.81</v>
      </c>
      <c r="I120" s="59">
        <f t="shared" ref="I120:M120" si="185">-I82</f>
        <v>-197.85</v>
      </c>
      <c r="J120" s="59">
        <f t="shared" si="185"/>
        <v>-200.54</v>
      </c>
      <c r="K120" s="59">
        <f t="shared" si="185"/>
        <v>-225.91</v>
      </c>
      <c r="L120" s="59">
        <f t="shared" si="185"/>
        <v>-300.45999999999998</v>
      </c>
      <c r="M120" s="59">
        <f t="shared" si="185"/>
        <v>-313.33999999999997</v>
      </c>
      <c r="N120" s="59">
        <f>N11*-N118</f>
        <v>-317.16438394794301</v>
      </c>
      <c r="O120" s="59">
        <f t="shared" ref="O120:S120" si="186">O11*-O118</f>
        <v>-335.15261857803659</v>
      </c>
      <c r="P120" s="59">
        <f t="shared" si="186"/>
        <v>-362.92949206400874</v>
      </c>
      <c r="Q120" s="59">
        <f t="shared" si="186"/>
        <v>-390.00056781852663</v>
      </c>
      <c r="R120" s="59">
        <f t="shared" si="186"/>
        <v>-416.18185545682218</v>
      </c>
      <c r="S120" s="59">
        <f t="shared" si="186"/>
        <v>-441.3268423876163</v>
      </c>
    </row>
    <row r="121" spans="3:19" ht="15" thickBot="1" x14ac:dyDescent="0.35">
      <c r="D121" s="34" t="s">
        <v>260</v>
      </c>
      <c r="E121" s="37"/>
      <c r="F121" s="37" t="s">
        <v>401</v>
      </c>
      <c r="G121" s="37"/>
      <c r="H121" s="57">
        <f>H56</f>
        <v>1778.7599999999998</v>
      </c>
      <c r="I121" s="57">
        <f t="shared" ref="I121:M121" si="187">I56</f>
        <v>1773.57</v>
      </c>
      <c r="J121" s="57">
        <f t="shared" si="187"/>
        <v>2149.2799999999997</v>
      </c>
      <c r="K121" s="57">
        <f t="shared" si="187"/>
        <v>2632.14</v>
      </c>
      <c r="L121" s="57">
        <f t="shared" si="187"/>
        <v>2828.86</v>
      </c>
      <c r="M121" s="57">
        <f t="shared" si="187"/>
        <v>2860.2200000000003</v>
      </c>
      <c r="N121" s="57">
        <f>N26/N19</f>
        <v>3022.4396912946286</v>
      </c>
      <c r="O121" s="57">
        <f t="shared" ref="O121:S121" si="188">O26/O19</f>
        <v>3272.9343026160791</v>
      </c>
      <c r="P121" s="57">
        <f t="shared" si="188"/>
        <v>3517.0639597067561</v>
      </c>
      <c r="Q121" s="57">
        <f t="shared" si="188"/>
        <v>3753.1694189537079</v>
      </c>
      <c r="R121" s="57">
        <f t="shared" si="188"/>
        <v>3979.9294152179809</v>
      </c>
      <c r="S121" s="57">
        <f t="shared" si="188"/>
        <v>4196.3438134842436</v>
      </c>
    </row>
    <row r="122" spans="3:19" ht="15" thickTop="1" x14ac:dyDescent="0.3"/>
    <row r="123" spans="3:19" x14ac:dyDescent="0.3">
      <c r="C123" s="22" t="s">
        <v>261</v>
      </c>
    </row>
    <row r="124" spans="3:19" x14ac:dyDescent="0.3">
      <c r="D124" t="s">
        <v>262</v>
      </c>
      <c r="F124" t="s">
        <v>401</v>
      </c>
      <c r="H124" s="59">
        <v>0</v>
      </c>
      <c r="I124" s="59">
        <f>H126</f>
        <v>1514.05</v>
      </c>
      <c r="J124" s="59">
        <f t="shared" ref="J124:M124" si="189">I126</f>
        <v>2087.17</v>
      </c>
      <c r="K124" s="59">
        <f t="shared" si="189"/>
        <v>2481.2000000000003</v>
      </c>
      <c r="L124" s="59">
        <f t="shared" si="189"/>
        <v>2997.37</v>
      </c>
      <c r="M124" s="59">
        <f t="shared" si="189"/>
        <v>2064.96</v>
      </c>
      <c r="N124" s="56">
        <f>M126</f>
        <v>1246.51</v>
      </c>
      <c r="O124" s="56">
        <f t="shared" ref="O124:S124" si="190">N126</f>
        <v>1246.51</v>
      </c>
      <c r="P124" s="56">
        <f t="shared" si="190"/>
        <v>1246.51</v>
      </c>
      <c r="Q124" s="56">
        <f t="shared" si="190"/>
        <v>1246.51</v>
      </c>
      <c r="R124" s="56">
        <f t="shared" si="190"/>
        <v>1246.51</v>
      </c>
      <c r="S124" s="56">
        <f t="shared" si="190"/>
        <v>1246.51</v>
      </c>
    </row>
    <row r="125" spans="3:19" x14ac:dyDescent="0.3">
      <c r="D125" t="s">
        <v>263</v>
      </c>
      <c r="F125" t="s">
        <v>401</v>
      </c>
      <c r="H125" s="59">
        <v>0</v>
      </c>
      <c r="I125" s="59">
        <f>I124-I126</f>
        <v>-573.12000000000012</v>
      </c>
      <c r="J125" s="59">
        <f t="shared" ref="J125:L125" si="191">J124-J126</f>
        <v>-394.0300000000002</v>
      </c>
      <c r="K125" s="59">
        <f t="shared" si="191"/>
        <v>-516.16999999999962</v>
      </c>
      <c r="L125" s="59">
        <f t="shared" si="191"/>
        <v>932.40999999999985</v>
      </c>
      <c r="M125" s="59">
        <f>M124-M126</f>
        <v>818.45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3:19" ht="15" thickBot="1" x14ac:dyDescent="0.35">
      <c r="D126" s="34" t="s">
        <v>264</v>
      </c>
      <c r="E126" s="34"/>
      <c r="F126" s="34" t="s">
        <v>401</v>
      </c>
      <c r="G126" s="34"/>
      <c r="H126" s="57">
        <f>H68</f>
        <v>1514.05</v>
      </c>
      <c r="I126" s="57">
        <f t="shared" ref="I126:N126" si="192">I68</f>
        <v>2087.17</v>
      </c>
      <c r="J126" s="57">
        <f t="shared" si="192"/>
        <v>2481.2000000000003</v>
      </c>
      <c r="K126" s="57">
        <f t="shared" si="192"/>
        <v>2997.37</v>
      </c>
      <c r="L126" s="57">
        <f t="shared" si="192"/>
        <v>2064.96</v>
      </c>
      <c r="M126" s="57">
        <f>M68</f>
        <v>1246.51</v>
      </c>
      <c r="N126" s="57">
        <f t="shared" si="192"/>
        <v>1246.51</v>
      </c>
      <c r="O126" s="57">
        <f t="shared" ref="O126:S126" si="193">O68</f>
        <v>1246.51</v>
      </c>
      <c r="P126" s="57">
        <f t="shared" si="193"/>
        <v>1246.51</v>
      </c>
      <c r="Q126" s="57">
        <f t="shared" si="193"/>
        <v>1246.51</v>
      </c>
      <c r="R126" s="57">
        <f t="shared" si="193"/>
        <v>1246.51</v>
      </c>
      <c r="S126" s="57">
        <f t="shared" si="193"/>
        <v>1246.51</v>
      </c>
    </row>
    <row r="127" spans="3:19" ht="15" thickTop="1" x14ac:dyDescent="0.3">
      <c r="D127" t="s">
        <v>251</v>
      </c>
      <c r="F127" t="s">
        <v>401</v>
      </c>
      <c r="H127" s="59">
        <f>H35</f>
        <v>-76.900000000000006</v>
      </c>
      <c r="I127" s="59">
        <f t="shared" ref="I127:L127" si="194">I35</f>
        <v>-110.9</v>
      </c>
      <c r="J127" s="59">
        <f t="shared" si="194"/>
        <v>-144.29</v>
      </c>
      <c r="K127" s="59">
        <f t="shared" si="194"/>
        <v>-169.1</v>
      </c>
      <c r="L127" s="59">
        <f t="shared" si="194"/>
        <v>-164</v>
      </c>
      <c r="M127" s="59">
        <f>M35</f>
        <v>-138.80000000000001</v>
      </c>
      <c r="N127" s="59">
        <f>-N126*N12</f>
        <v>-82.883709740623971</v>
      </c>
      <c r="O127" s="59">
        <f t="shared" ref="O127:S127" si="195">-O126*O12</f>
        <v>-82.883709740623971</v>
      </c>
      <c r="P127" s="59">
        <f t="shared" si="195"/>
        <v>-82.883709740623971</v>
      </c>
      <c r="Q127" s="59">
        <f t="shared" si="195"/>
        <v>-82.883709740623971</v>
      </c>
      <c r="R127" s="59">
        <f t="shared" si="195"/>
        <v>-82.883709740623971</v>
      </c>
      <c r="S127" s="59">
        <f t="shared" si="195"/>
        <v>-82.883709740623971</v>
      </c>
    </row>
    <row r="131" spans="1:19" ht="21" x14ac:dyDescent="0.4">
      <c r="A131" s="109" t="s">
        <v>336</v>
      </c>
      <c r="B131" s="110"/>
      <c r="C131" s="110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88"/>
    </row>
    <row r="133" spans="1:19" x14ac:dyDescent="0.3">
      <c r="D133" s="90" t="s">
        <v>337</v>
      </c>
      <c r="E133" s="90"/>
    </row>
    <row r="134" spans="1:19" x14ac:dyDescent="0.3">
      <c r="D134" t="s">
        <v>338</v>
      </c>
      <c r="E134" s="78">
        <v>46153</v>
      </c>
    </row>
    <row r="135" spans="1:19" x14ac:dyDescent="0.3">
      <c r="D135" t="s">
        <v>339</v>
      </c>
      <c r="E135" s="78">
        <v>46477</v>
      </c>
    </row>
    <row r="136" spans="1:19" x14ac:dyDescent="0.3">
      <c r="D136" t="s">
        <v>340</v>
      </c>
      <c r="E136" s="68">
        <f>N14</f>
        <v>0.25637878170900535</v>
      </c>
    </row>
    <row r="137" spans="1:19" x14ac:dyDescent="0.3">
      <c r="D137" t="s">
        <v>341</v>
      </c>
      <c r="E137" s="91">
        <f>Comps!T18</f>
        <v>39.363568898626959</v>
      </c>
    </row>
    <row r="138" spans="1:19" x14ac:dyDescent="0.3">
      <c r="D138" t="s">
        <v>342</v>
      </c>
      <c r="E138" s="41">
        <v>0.05</v>
      </c>
    </row>
    <row r="139" spans="1:19" x14ac:dyDescent="0.3">
      <c r="D139" t="s">
        <v>343</v>
      </c>
      <c r="E139" s="68">
        <f>WACC!H47</f>
        <v>9.0967257829955128E-2</v>
      </c>
    </row>
    <row r="140" spans="1:19" x14ac:dyDescent="0.3">
      <c r="D140" t="s">
        <v>344</v>
      </c>
      <c r="E140">
        <f>'Comp Data'!K4</f>
        <v>24.09</v>
      </c>
      <c r="F140" t="s">
        <v>330</v>
      </c>
    </row>
    <row r="146" spans="4:18" x14ac:dyDescent="0.3">
      <c r="D146" s="90" t="s">
        <v>345</v>
      </c>
      <c r="E146" s="90"/>
      <c r="F146" s="90"/>
      <c r="G146" s="90"/>
      <c r="H146" s="90" t="s">
        <v>346</v>
      </c>
      <c r="I146" s="90">
        <f>+YEAR(E135)</f>
        <v>2027</v>
      </c>
      <c r="J146" s="90">
        <f>I146+1</f>
        <v>2028</v>
      </c>
      <c r="K146" s="90">
        <f>J146+1</f>
        <v>2029</v>
      </c>
      <c r="L146" s="90">
        <f>K146+1</f>
        <v>2030</v>
      </c>
      <c r="M146" s="90">
        <f>L146+1</f>
        <v>2031</v>
      </c>
      <c r="N146" s="90" t="s">
        <v>347</v>
      </c>
      <c r="P146" s="90" t="s">
        <v>348</v>
      </c>
    </row>
    <row r="147" spans="4:18" x14ac:dyDescent="0.3">
      <c r="D147" t="s">
        <v>301</v>
      </c>
      <c r="H147" s="92">
        <f>E134</f>
        <v>46153</v>
      </c>
      <c r="I147" s="92">
        <f>DATE(YEAR($E$134)+I148,MONTH($E$135),DAY($E$135))</f>
        <v>46477</v>
      </c>
      <c r="J147" s="92">
        <f t="shared" ref="J147:N147" si="196">DATE(YEAR($E$134)+J148,MONTH($E$135),DAY($E$135))</f>
        <v>46843</v>
      </c>
      <c r="K147" s="92">
        <f t="shared" si="196"/>
        <v>47208</v>
      </c>
      <c r="L147" s="92">
        <f t="shared" si="196"/>
        <v>47573</v>
      </c>
      <c r="M147" s="92">
        <f t="shared" si="196"/>
        <v>47938</v>
      </c>
      <c r="N147" s="92">
        <f t="shared" si="196"/>
        <v>47938</v>
      </c>
      <c r="P147" t="s">
        <v>318</v>
      </c>
      <c r="Q147" s="23"/>
      <c r="R147" s="93">
        <f>(M152+M155)*E137</f>
        <v>186693.66319709865</v>
      </c>
    </row>
    <row r="148" spans="4:18" x14ac:dyDescent="0.3">
      <c r="D148" t="s">
        <v>349</v>
      </c>
      <c r="I148">
        <v>1</v>
      </c>
      <c r="J148">
        <f>I148+1</f>
        <v>2</v>
      </c>
      <c r="K148">
        <f>J148+1</f>
        <v>3</v>
      </c>
      <c r="L148">
        <f>K148+1</f>
        <v>4</v>
      </c>
      <c r="M148">
        <f>L148+1</f>
        <v>5</v>
      </c>
      <c r="N148">
        <v>5</v>
      </c>
      <c r="P148" t="s">
        <v>350</v>
      </c>
      <c r="R148" s="93">
        <f>M158*(1+E138)/(E139-E138)</f>
        <v>74644.407392004912</v>
      </c>
    </row>
    <row r="149" spans="4:18" x14ac:dyDescent="0.3">
      <c r="D149" t="s">
        <v>351</v>
      </c>
      <c r="I149" s="94">
        <f>YEARFRAC(H147,I147)</f>
        <v>0.88888888888888884</v>
      </c>
      <c r="J149" s="94">
        <f>YEARFRAC(I147,J147,)</f>
        <v>1</v>
      </c>
      <c r="K149" s="94">
        <f>YEARFRAC(J147,K147,)</f>
        <v>1</v>
      </c>
      <c r="L149" s="94">
        <f>YEARFRAC(K147,L147,)</f>
        <v>1</v>
      </c>
      <c r="M149" s="94">
        <f>YEARFRAC(L147,M147,)</f>
        <v>1</v>
      </c>
      <c r="N149" s="95">
        <v>1</v>
      </c>
      <c r="P149" s="4" t="s">
        <v>322</v>
      </c>
      <c r="Q149" s="4"/>
      <c r="R149" s="96">
        <f>AVERAGE(R147:R148)</f>
        <v>130669.03529455178</v>
      </c>
    </row>
    <row r="151" spans="4:18" x14ac:dyDescent="0.3">
      <c r="I151" s="36"/>
      <c r="J151" s="36"/>
      <c r="K151" s="36"/>
      <c r="L151" s="36"/>
      <c r="M151" s="36"/>
    </row>
    <row r="152" spans="4:18" x14ac:dyDescent="0.3">
      <c r="D152" t="s">
        <v>171</v>
      </c>
      <c r="F152" t="s">
        <v>401</v>
      </c>
      <c r="I152" s="36">
        <f>O34</f>
        <v>3363.9922072657992</v>
      </c>
      <c r="J152" s="36">
        <f t="shared" ref="J152:M152" si="197">P34</f>
        <v>3612.1362274990106</v>
      </c>
      <c r="K152" s="36">
        <f t="shared" si="197"/>
        <v>3851.9169144666316</v>
      </c>
      <c r="L152" s="36">
        <f t="shared" si="197"/>
        <v>4082.0249346274163</v>
      </c>
      <c r="M152" s="36">
        <f t="shared" si="197"/>
        <v>4301.4764252198265</v>
      </c>
    </row>
    <row r="153" spans="4:18" x14ac:dyDescent="0.3">
      <c r="D153" s="97" t="s">
        <v>352</v>
      </c>
      <c r="E153" s="97"/>
      <c r="F153" s="97" t="s">
        <v>401</v>
      </c>
      <c r="G153" s="97"/>
      <c r="H153" s="97"/>
      <c r="I153" s="98">
        <f>O41</f>
        <v>-932.56208927007981</v>
      </c>
      <c r="J153" s="98">
        <f t="shared" ref="J153:M153" si="198">P41</f>
        <v>-1002.8969952206212</v>
      </c>
      <c r="K153" s="98">
        <f t="shared" si="198"/>
        <v>-1071.4370838740351</v>
      </c>
      <c r="L153" s="98">
        <f t="shared" si="198"/>
        <v>-1136.6811449984393</v>
      </c>
      <c r="M153" s="98">
        <f t="shared" si="198"/>
        <v>-1199.0749894848193</v>
      </c>
    </row>
    <row r="154" spans="4:18" x14ac:dyDescent="0.3">
      <c r="D154" s="4" t="s">
        <v>353</v>
      </c>
      <c r="E154" s="4"/>
      <c r="F154" s="4" t="s">
        <v>401</v>
      </c>
      <c r="G154" s="4"/>
      <c r="H154" s="4"/>
      <c r="I154" s="35">
        <f>SUM(I152:I153)</f>
        <v>2431.4301179957192</v>
      </c>
      <c r="J154" s="35">
        <f>SUM(J152:J153)</f>
        <v>2609.2392322783894</v>
      </c>
      <c r="K154" s="35">
        <f>SUM(K152:K153)</f>
        <v>2780.4798305925965</v>
      </c>
      <c r="L154" s="35">
        <f>SUM(L152:L153)</f>
        <v>2945.343789628977</v>
      </c>
      <c r="M154" s="35">
        <f>SUM(M152:M153)</f>
        <v>3102.401435735007</v>
      </c>
    </row>
    <row r="155" spans="4:18" x14ac:dyDescent="0.3">
      <c r="D155" t="s">
        <v>354</v>
      </c>
      <c r="F155" t="s">
        <v>401</v>
      </c>
      <c r="I155" s="36">
        <f>-O120</f>
        <v>335.15261857803659</v>
      </c>
      <c r="J155" s="36">
        <f t="shared" ref="J155:M155" si="199">-P120</f>
        <v>362.92949206400874</v>
      </c>
      <c r="K155" s="36">
        <f t="shared" si="199"/>
        <v>390.00056781852663</v>
      </c>
      <c r="L155" s="36">
        <f t="shared" si="199"/>
        <v>416.18185545682218</v>
      </c>
      <c r="M155" s="36">
        <f t="shared" si="199"/>
        <v>441.3268423876163</v>
      </c>
    </row>
    <row r="156" spans="4:18" x14ac:dyDescent="0.3">
      <c r="D156" t="s">
        <v>403</v>
      </c>
      <c r="F156" t="s">
        <v>401</v>
      </c>
      <c r="I156" s="36">
        <f>-O119</f>
        <v>-585.64722989948712</v>
      </c>
      <c r="J156" s="36">
        <f t="shared" ref="J156:M156" si="200">-P119</f>
        <v>-607.05914915468577</v>
      </c>
      <c r="K156" s="36">
        <f t="shared" si="200"/>
        <v>-626.10602706547843</v>
      </c>
      <c r="L156" s="36">
        <f t="shared" si="200"/>
        <v>-642.94185172109519</v>
      </c>
      <c r="M156" s="36">
        <f t="shared" si="200"/>
        <v>-657.741240653879</v>
      </c>
    </row>
    <row r="157" spans="4:18" x14ac:dyDescent="0.3">
      <c r="D157" t="str">
        <f>D85</f>
        <v>(+/-) Change In Working Capital</v>
      </c>
      <c r="F157" t="s">
        <v>401</v>
      </c>
      <c r="I157" s="36">
        <f>O85</f>
        <v>30.524636556942653</v>
      </c>
      <c r="J157" s="36">
        <f>P85</f>
        <v>29.749019414638383</v>
      </c>
      <c r="K157" s="36">
        <f>Q85</f>
        <v>28.771211063597207</v>
      </c>
      <c r="L157" s="36">
        <f>R85</f>
        <v>27.632396701493121</v>
      </c>
      <c r="M157" s="36">
        <f>S85</f>
        <v>26.371708428848933</v>
      </c>
    </row>
    <row r="158" spans="4:18" x14ac:dyDescent="0.3">
      <c r="D158" s="24" t="s">
        <v>355</v>
      </c>
      <c r="E158" s="24"/>
      <c r="F158" s="24" t="s">
        <v>401</v>
      </c>
      <c r="G158" s="24"/>
      <c r="H158" s="24"/>
      <c r="I158" s="129">
        <f>SUM(I154:I157)</f>
        <v>2211.4601432312115</v>
      </c>
      <c r="J158" s="129">
        <f>SUM(J154:J157)</f>
        <v>2394.8585946023509</v>
      </c>
      <c r="K158" s="129">
        <f>SUM(K154:K157)</f>
        <v>2573.1455824092418</v>
      </c>
      <c r="L158" s="129">
        <f>SUM(L154:L157)</f>
        <v>2746.2161900661972</v>
      </c>
      <c r="M158" s="129">
        <f>SUM(M154:M157)</f>
        <v>2912.3587458975935</v>
      </c>
      <c r="N158" s="130">
        <f>R149</f>
        <v>130669.03529455178</v>
      </c>
    </row>
    <row r="160" spans="4:18" x14ac:dyDescent="0.3">
      <c r="D160" s="4" t="s">
        <v>356</v>
      </c>
      <c r="E160" s="4"/>
      <c r="F160" s="4"/>
      <c r="G160" s="4"/>
      <c r="H160" s="4">
        <v>0</v>
      </c>
      <c r="I160" s="4">
        <f t="shared" ref="I160:N160" si="201">I158*I149</f>
        <v>1965.7423495388546</v>
      </c>
      <c r="J160" s="4">
        <f t="shared" si="201"/>
        <v>2394.8585946023509</v>
      </c>
      <c r="K160" s="4">
        <f t="shared" si="201"/>
        <v>2573.1455824092418</v>
      </c>
      <c r="L160" s="4">
        <f t="shared" si="201"/>
        <v>2746.2161900661972</v>
      </c>
      <c r="M160" s="4">
        <f t="shared" si="201"/>
        <v>2912.3587458975935</v>
      </c>
      <c r="N160" s="4">
        <f t="shared" si="201"/>
        <v>130669.03529455178</v>
      </c>
    </row>
    <row r="163" spans="1:17" x14ac:dyDescent="0.3">
      <c r="E163" s="82"/>
    </row>
    <row r="164" spans="1:17" x14ac:dyDescent="0.3">
      <c r="D164" s="90" t="s">
        <v>357</v>
      </c>
      <c r="E164" s="97"/>
      <c r="H164" s="90" t="s">
        <v>358</v>
      </c>
      <c r="I164" s="97"/>
      <c r="J164" s="97"/>
      <c r="L164" s="90" t="s">
        <v>359</v>
      </c>
      <c r="M164" s="97"/>
      <c r="N164" s="97"/>
    </row>
    <row r="165" spans="1:17" x14ac:dyDescent="0.3">
      <c r="D165" t="s">
        <v>360</v>
      </c>
      <c r="E165" s="82">
        <f>XNPV(E139,H160:N160,H147:N147)</f>
        <v>95072.007566267042</v>
      </c>
      <c r="H165" t="s">
        <v>313</v>
      </c>
      <c r="J165" s="82">
        <f>'Comp Data'!F4</f>
        <v>132906.25</v>
      </c>
      <c r="L165" t="s">
        <v>361</v>
      </c>
      <c r="M165" s="82">
        <f>J171</f>
        <v>5517.0713989207143</v>
      </c>
    </row>
    <row r="166" spans="1:17" x14ac:dyDescent="0.3">
      <c r="D166" t="s">
        <v>362</v>
      </c>
      <c r="E166" s="36">
        <f>L50+L51+L59</f>
        <v>1347.69</v>
      </c>
      <c r="H166" t="s">
        <v>363</v>
      </c>
      <c r="J166" s="36">
        <f>E167</f>
        <v>164</v>
      </c>
      <c r="L166" t="s">
        <v>364</v>
      </c>
      <c r="M166" s="82">
        <f>E171</f>
        <v>4008.2232281555434</v>
      </c>
    </row>
    <row r="167" spans="1:17" x14ac:dyDescent="0.3">
      <c r="D167" t="s">
        <v>365</v>
      </c>
      <c r="E167" s="36">
        <f>-L127</f>
        <v>164</v>
      </c>
      <c r="H167" t="s">
        <v>366</v>
      </c>
      <c r="J167" s="36">
        <f>-E168</f>
        <v>25.6</v>
      </c>
      <c r="L167" t="s">
        <v>367</v>
      </c>
      <c r="M167" s="46">
        <f>M166/M165-1</f>
        <v>-0.27348715680212909</v>
      </c>
    </row>
    <row r="168" spans="1:17" x14ac:dyDescent="0.3">
      <c r="D168" t="s">
        <v>368</v>
      </c>
      <c r="E168" s="36">
        <f>-N75</f>
        <v>-25.6</v>
      </c>
      <c r="H168" t="s">
        <v>369</v>
      </c>
      <c r="J168" s="36">
        <f>-E166</f>
        <v>-1347.69</v>
      </c>
      <c r="M168" s="46"/>
    </row>
    <row r="169" spans="1:17" x14ac:dyDescent="0.3">
      <c r="D169" t="s">
        <v>327</v>
      </c>
      <c r="E169" s="99">
        <f>SUM(E165:E168)</f>
        <v>96558.097566267039</v>
      </c>
      <c r="H169" t="s">
        <v>370</v>
      </c>
      <c r="J169" s="82">
        <f>SUM(J165:J168)</f>
        <v>131748.16</v>
      </c>
    </row>
    <row r="171" spans="1:17" x14ac:dyDescent="0.3">
      <c r="D171" t="s">
        <v>371</v>
      </c>
      <c r="E171">
        <f>E169/E140</f>
        <v>4008.2232281555434</v>
      </c>
      <c r="H171" t="s">
        <v>371</v>
      </c>
      <c r="J171" s="82">
        <f>J165/E140</f>
        <v>5517.0713989207143</v>
      </c>
    </row>
    <row r="174" spans="1:17" ht="21" x14ac:dyDescent="0.4">
      <c r="A174" s="125" t="s">
        <v>372</v>
      </c>
      <c r="B174" s="126"/>
      <c r="C174" s="126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</row>
    <row r="176" spans="1:17" ht="15.6" x14ac:dyDescent="0.3">
      <c r="A176" s="123"/>
      <c r="B176" s="123"/>
      <c r="C176" s="123"/>
      <c r="D176" s="124"/>
      <c r="E176" s="124"/>
      <c r="F176" s="124"/>
      <c r="H176" s="128" t="s">
        <v>373</v>
      </c>
      <c r="I176" s="128"/>
      <c r="J176" s="128"/>
      <c r="K176" s="128"/>
      <c r="L176" s="128"/>
      <c r="M176" s="128"/>
      <c r="N176" s="128"/>
    </row>
    <row r="177" spans="1:14" x14ac:dyDescent="0.3">
      <c r="A177" s="123"/>
      <c r="B177" s="123"/>
      <c r="C177" s="123"/>
      <c r="D177" s="124"/>
      <c r="E177" s="124"/>
      <c r="F177" s="124"/>
    </row>
    <row r="178" spans="1:14" x14ac:dyDescent="0.3">
      <c r="A178" s="123"/>
      <c r="B178" s="123"/>
      <c r="C178" s="123"/>
      <c r="D178" s="124"/>
      <c r="E178" s="124"/>
      <c r="F178" s="124"/>
      <c r="J178" s="100" t="s">
        <v>374</v>
      </c>
      <c r="K178" s="101"/>
      <c r="L178" s="101"/>
      <c r="M178" s="101"/>
      <c r="N178" s="101"/>
    </row>
    <row r="179" spans="1:14" x14ac:dyDescent="0.3">
      <c r="A179" s="123"/>
      <c r="B179" s="123"/>
      <c r="C179" s="123"/>
      <c r="D179" s="124"/>
      <c r="E179" s="124"/>
      <c r="F179" s="124"/>
      <c r="I179" s="102">
        <f>E171</f>
        <v>4008.2232281555434</v>
      </c>
      <c r="J179" s="103">
        <v>30</v>
      </c>
      <c r="K179" s="103">
        <v>35</v>
      </c>
      <c r="L179" s="103">
        <v>39.36</v>
      </c>
      <c r="M179" s="103">
        <v>45</v>
      </c>
      <c r="N179" s="103">
        <v>50</v>
      </c>
    </row>
    <row r="180" spans="1:14" x14ac:dyDescent="0.3">
      <c r="A180" s="123"/>
      <c r="B180" s="123"/>
      <c r="C180" s="123"/>
      <c r="D180" s="124"/>
      <c r="E180" s="124"/>
      <c r="F180" s="124"/>
      <c r="H180" s="138" t="s">
        <v>343</v>
      </c>
      <c r="I180" s="104">
        <v>7.4999999999999997E-2</v>
      </c>
      <c r="J180">
        <f t="dataTable" ref="J180:N184" dt2D="1" dtr="1" r1="E137" r2="E139"/>
        <v>4338.4309850013415</v>
      </c>
      <c r="K180">
        <v>4684.002567108053</v>
      </c>
      <c r="L180">
        <v>4985.3409867051059</v>
      </c>
      <c r="M180">
        <v>5375.1457313214769</v>
      </c>
      <c r="N180">
        <v>5720.7173134281884</v>
      </c>
    </row>
    <row r="181" spans="1:14" x14ac:dyDescent="0.3">
      <c r="A181" s="123"/>
      <c r="B181" s="123"/>
      <c r="C181" s="123"/>
      <c r="D181" s="124"/>
      <c r="E181" s="124"/>
      <c r="F181" s="124"/>
      <c r="H181" s="138"/>
      <c r="I181" s="104">
        <v>0.08</v>
      </c>
      <c r="J181">
        <v>3955.8264123973245</v>
      </c>
      <c r="K181" s="105">
        <v>4293.6441265662088</v>
      </c>
      <c r="L181" s="105">
        <v>4588.2211733214763</v>
      </c>
      <c r="M181" s="105">
        <v>4969.2795549039774</v>
      </c>
      <c r="N181">
        <v>5307.0972690728622</v>
      </c>
    </row>
    <row r="182" spans="1:14" x14ac:dyDescent="0.3">
      <c r="A182" s="123"/>
      <c r="B182" s="123"/>
      <c r="C182" s="123"/>
      <c r="D182" s="124"/>
      <c r="E182" s="124"/>
      <c r="F182" s="124"/>
      <c r="H182" s="138"/>
      <c r="I182" s="104">
        <v>9.0999999999999998E-2</v>
      </c>
      <c r="J182">
        <v>3404.8119636731003</v>
      </c>
      <c r="K182" s="105">
        <v>3726.2962456872256</v>
      </c>
      <c r="L182" s="106">
        <v>4006.6305396035427</v>
      </c>
      <c r="M182" s="105">
        <v>4369.2648097154752</v>
      </c>
      <c r="N182">
        <v>4690.7490917296009</v>
      </c>
    </row>
    <row r="183" spans="1:14" x14ac:dyDescent="0.3">
      <c r="A183" s="123"/>
      <c r="B183" s="123"/>
      <c r="C183" s="123"/>
      <c r="D183" s="124"/>
      <c r="E183" s="124"/>
      <c r="F183" s="124"/>
      <c r="H183" s="138"/>
      <c r="I183" s="104">
        <v>0.1</v>
      </c>
      <c r="J183">
        <v>3104.7345391018125</v>
      </c>
      <c r="K183" s="105">
        <v>3413.558563389191</v>
      </c>
      <c r="L183" s="105">
        <v>3682.853112567785</v>
      </c>
      <c r="M183" s="105">
        <v>4031.2066119639489</v>
      </c>
      <c r="N183">
        <v>4340.0306362513275</v>
      </c>
    </row>
    <row r="184" spans="1:14" x14ac:dyDescent="0.3">
      <c r="A184" s="123"/>
      <c r="B184" s="123"/>
      <c r="C184" s="123"/>
      <c r="D184" s="124"/>
      <c r="E184" s="124"/>
      <c r="F184" s="124"/>
      <c r="H184" s="138"/>
      <c r="I184" s="104">
        <v>0.11</v>
      </c>
      <c r="J184">
        <v>2852.9290268296963</v>
      </c>
      <c r="K184">
        <v>3148.3833349321803</v>
      </c>
      <c r="L184">
        <v>3406.0194915975467</v>
      </c>
      <c r="M184">
        <v>3739.2919511371492</v>
      </c>
      <c r="N184">
        <v>4034.7462592396337</v>
      </c>
    </row>
    <row r="185" spans="1:14" x14ac:dyDescent="0.3">
      <c r="A185" s="123"/>
      <c r="B185" s="123"/>
      <c r="C185" s="123"/>
      <c r="D185" s="124"/>
      <c r="E185" s="124"/>
      <c r="F185" s="124"/>
    </row>
    <row r="186" spans="1:14" x14ac:dyDescent="0.3">
      <c r="A186" s="123"/>
      <c r="B186" s="123"/>
      <c r="C186" s="123"/>
      <c r="D186" s="124"/>
      <c r="E186" s="124"/>
      <c r="F186" s="124"/>
    </row>
    <row r="187" spans="1:14" x14ac:dyDescent="0.3">
      <c r="A187" s="123"/>
      <c r="B187" s="123"/>
      <c r="C187" s="123"/>
      <c r="D187" s="124"/>
      <c r="E187" s="124"/>
      <c r="F187" s="124"/>
      <c r="J187" s="100" t="s">
        <v>342</v>
      </c>
      <c r="K187" s="101"/>
      <c r="L187" s="101"/>
      <c r="M187" s="101"/>
      <c r="N187" s="101"/>
    </row>
    <row r="188" spans="1:14" x14ac:dyDescent="0.3">
      <c r="A188" s="123"/>
      <c r="B188" s="123"/>
      <c r="C188" s="123"/>
      <c r="D188" s="124"/>
      <c r="E188" s="124"/>
      <c r="F188" s="124"/>
      <c r="I188" s="102">
        <f>E171</f>
        <v>4008.2232281555434</v>
      </c>
      <c r="J188" s="107">
        <v>0.04</v>
      </c>
      <c r="K188" s="107">
        <v>4.4999999999999998E-2</v>
      </c>
      <c r="L188" s="107">
        <v>0.05</v>
      </c>
      <c r="M188" s="107">
        <v>5.5E-2</v>
      </c>
      <c r="N188" s="107">
        <v>0.06</v>
      </c>
    </row>
    <row r="189" spans="1:14" x14ac:dyDescent="0.3">
      <c r="A189" s="123"/>
      <c r="B189" s="123"/>
      <c r="C189" s="123"/>
      <c r="D189" s="124"/>
      <c r="E189" s="124"/>
      <c r="F189" s="124"/>
      <c r="H189" s="138" t="s">
        <v>343</v>
      </c>
      <c r="I189" s="104">
        <v>7.4999999999999997E-2</v>
      </c>
      <c r="J189">
        <f t="dataTable" ref="J189:N193" dt2D="1" dtr="1" r1="E138" r2="E139" ca="1"/>
        <v>4464.1790507355945</v>
      </c>
      <c r="K189">
        <v>4681.4326332182991</v>
      </c>
      <c r="L189">
        <v>4985.5876486940861</v>
      </c>
      <c r="M189">
        <v>5441.8201719077651</v>
      </c>
      <c r="N189">
        <v>6202.2077105972285</v>
      </c>
    </row>
    <row r="190" spans="1:14" x14ac:dyDescent="0.3">
      <c r="A190" s="123"/>
      <c r="B190" s="123"/>
      <c r="C190" s="123"/>
      <c r="D190" s="124"/>
      <c r="E190" s="124"/>
      <c r="F190" s="124"/>
      <c r="H190" s="138"/>
      <c r="I190" s="104">
        <v>0.08</v>
      </c>
      <c r="J190">
        <v>4215.0705798778326</v>
      </c>
      <c r="K190" s="105">
        <v>4375.0956031116448</v>
      </c>
      <c r="L190" s="105">
        <v>4588.4623007567288</v>
      </c>
      <c r="M190" s="105">
        <v>4887.1756774598443</v>
      </c>
      <c r="N190">
        <v>5335.2457425145185</v>
      </c>
    </row>
    <row r="191" spans="1:14" x14ac:dyDescent="0.3">
      <c r="A191" s="123"/>
      <c r="B191" s="123"/>
      <c r="C191" s="123"/>
      <c r="D191" s="124"/>
      <c r="E191" s="124"/>
      <c r="F191" s="124"/>
      <c r="H191" s="138"/>
      <c r="I191" s="104">
        <v>9.0999999999999998E-2</v>
      </c>
      <c r="J191">
        <v>3800.8585867468973</v>
      </c>
      <c r="K191" s="105">
        <v>3892.6635682097926</v>
      </c>
      <c r="L191" s="106">
        <v>4006.8600085660764</v>
      </c>
      <c r="M191" s="105">
        <v>4152.7776823546619</v>
      </c>
      <c r="N191">
        <v>4345.7655734944028</v>
      </c>
    </row>
    <row r="192" spans="1:14" x14ac:dyDescent="0.3">
      <c r="A192" s="123"/>
      <c r="B192" s="123"/>
      <c r="C192" s="123"/>
      <c r="D192" s="124"/>
      <c r="E192" s="124"/>
      <c r="F192" s="124"/>
      <c r="H192" s="138"/>
      <c r="I192" s="104">
        <v>0.1</v>
      </c>
      <c r="J192">
        <v>3544.0071282547083</v>
      </c>
      <c r="K192" s="105">
        <v>3607.2191358184932</v>
      </c>
      <c r="L192" s="105">
        <v>3683.0735448950354</v>
      </c>
      <c r="M192" s="105">
        <v>3775.7844893219199</v>
      </c>
      <c r="N192">
        <v>3891.6731698555259</v>
      </c>
    </row>
    <row r="193" spans="1:14" x14ac:dyDescent="0.3">
      <c r="A193" s="123"/>
      <c r="B193" s="123"/>
      <c r="C193" s="123"/>
      <c r="D193" s="124"/>
      <c r="E193" s="124"/>
      <c r="F193" s="124"/>
      <c r="H193" s="138"/>
      <c r="I193" s="104">
        <v>0.11</v>
      </c>
      <c r="J193">
        <v>3310.3336568979739</v>
      </c>
      <c r="K193">
        <v>3354.5936833569631</v>
      </c>
      <c r="L193">
        <v>3406.2303808924503</v>
      </c>
      <c r="M193">
        <v>3467.2555688889347</v>
      </c>
      <c r="N193">
        <v>3540.4857944847167</v>
      </c>
    </row>
    <row r="194" spans="1:14" x14ac:dyDescent="0.3">
      <c r="A194" s="123"/>
      <c r="B194" s="123"/>
      <c r="C194" s="123"/>
      <c r="D194" s="124"/>
      <c r="E194" s="124"/>
      <c r="F194" s="124"/>
      <c r="H194" s="108"/>
    </row>
  </sheetData>
  <mergeCells count="2">
    <mergeCell ref="H180:H184"/>
    <mergeCell ref="H189:H19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C376F-FD05-455E-A454-C918DA4E1EA9}">
          <x14:formula1>
            <xm:f>'Scenario Analysis'!$D$5:$D$7</xm:f>
          </x14:formula1>
          <xm:sqref>E6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2E7D-E89C-4B66-95AF-A32180F7F7F1}">
  <dimension ref="A1:M13"/>
  <sheetViews>
    <sheetView showGridLines="0" workbookViewId="0">
      <selection activeCell="H22" sqref="H22"/>
    </sheetView>
  </sheetViews>
  <sheetFormatPr defaultColWidth="11.77734375" defaultRowHeight="14.4" x14ac:dyDescent="0.3"/>
  <cols>
    <col min="1" max="3" width="1.33203125" customWidth="1"/>
    <col min="4" max="4" width="40.77734375" customWidth="1"/>
    <col min="5" max="6" width="12.77734375" customWidth="1"/>
    <col min="7" max="7" width="2.77734375" customWidth="1"/>
  </cols>
  <sheetData>
    <row r="1" spans="1:13" ht="32.4" x14ac:dyDescent="0.6">
      <c r="A1" s="8" t="s">
        <v>155</v>
      </c>
      <c r="B1" s="9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3.4" x14ac:dyDescent="0.45">
      <c r="A2" s="87" t="s">
        <v>245</v>
      </c>
      <c r="B2" s="19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3">
      <c r="A3" s="1"/>
      <c r="B3" s="1"/>
      <c r="C3" s="1"/>
    </row>
    <row r="4" spans="1:13" x14ac:dyDescent="0.3">
      <c r="A4" s="1"/>
      <c r="B4" s="1"/>
      <c r="C4" s="22" t="s">
        <v>245</v>
      </c>
      <c r="E4" s="4" t="s">
        <v>246</v>
      </c>
      <c r="H4">
        <v>2026</v>
      </c>
      <c r="I4">
        <f>H4+1</f>
        <v>2027</v>
      </c>
      <c r="J4">
        <f>I4+1</f>
        <v>2028</v>
      </c>
      <c r="K4">
        <f>J4+1</f>
        <v>2029</v>
      </c>
      <c r="L4">
        <f>K4+1</f>
        <v>2030</v>
      </c>
      <c r="M4">
        <f>L4+1</f>
        <v>2031</v>
      </c>
    </row>
    <row r="5" spans="1:13" x14ac:dyDescent="0.3">
      <c r="A5" s="1"/>
      <c r="B5" s="1"/>
      <c r="C5" s="1"/>
      <c r="D5" t="s">
        <v>247</v>
      </c>
      <c r="E5" s="40">
        <f>AVERAGE(Model!I7:M7)</f>
        <v>9.2086980830212634E-2</v>
      </c>
      <c r="H5" s="41" cm="1">
        <f t="array" ref="H5:H7">E5:E7</f>
        <v>9.2086980830212634E-2</v>
      </c>
      <c r="I5" s="41">
        <f>H5*(1-$E$8)</f>
        <v>8.2878282747191376E-2</v>
      </c>
      <c r="J5" s="41">
        <f>I5*(1-$E$8)</f>
        <v>7.4590454472472242E-2</v>
      </c>
      <c r="K5" s="41">
        <f>J5*(1-$E$8)</f>
        <v>6.713140902522502E-2</v>
      </c>
      <c r="L5" s="41">
        <f>K5*(1-$E$8)</f>
        <v>6.0418268122702519E-2</v>
      </c>
      <c r="M5" s="41">
        <f>L5*(1-$E$8)</f>
        <v>5.4376441310432268E-2</v>
      </c>
    </row>
    <row r="6" spans="1:13" x14ac:dyDescent="0.3">
      <c r="A6" s="1"/>
      <c r="B6" s="1"/>
      <c r="C6" s="1"/>
      <c r="D6" t="s">
        <v>230</v>
      </c>
      <c r="E6" s="40">
        <f>MAX(Model!H7:M7)</f>
        <v>0.15310202274151719</v>
      </c>
      <c r="H6" s="41">
        <v>0.15310202274151719</v>
      </c>
      <c r="I6" s="41">
        <f t="shared" ref="I6:M7" si="0">H6*(1-$E$8)</f>
        <v>0.13779182046736546</v>
      </c>
      <c r="J6" s="41">
        <f t="shared" si="0"/>
        <v>0.12401263842062892</v>
      </c>
      <c r="K6" s="41">
        <f t="shared" si="0"/>
        <v>0.11161137457856603</v>
      </c>
      <c r="L6" s="41">
        <f t="shared" si="0"/>
        <v>0.10045023712070943</v>
      </c>
      <c r="M6" s="41">
        <f t="shared" si="0"/>
        <v>9.0405213408638482E-2</v>
      </c>
    </row>
    <row r="7" spans="1:13" x14ac:dyDescent="0.3">
      <c r="A7" s="1"/>
      <c r="B7" s="1"/>
      <c r="C7" s="1"/>
      <c r="D7" t="s">
        <v>248</v>
      </c>
      <c r="E7" s="40">
        <v>0.05</v>
      </c>
      <c r="H7" s="41">
        <v>0.05</v>
      </c>
      <c r="I7" s="41">
        <f t="shared" si="0"/>
        <v>4.5000000000000005E-2</v>
      </c>
      <c r="J7" s="41">
        <f t="shared" si="0"/>
        <v>4.0500000000000008E-2</v>
      </c>
      <c r="K7" s="41">
        <f t="shared" si="0"/>
        <v>3.645000000000001E-2</v>
      </c>
      <c r="L7" s="41">
        <f t="shared" si="0"/>
        <v>3.2805000000000008E-2</v>
      </c>
      <c r="M7" s="41">
        <f t="shared" si="0"/>
        <v>2.9524500000000009E-2</v>
      </c>
    </row>
    <row r="8" spans="1:13" x14ac:dyDescent="0.3">
      <c r="A8" s="1"/>
      <c r="B8" s="1"/>
      <c r="C8" s="1"/>
      <c r="D8" t="s">
        <v>249</v>
      </c>
      <c r="E8" s="40">
        <v>0.1</v>
      </c>
    </row>
    <row r="11" spans="1:13" x14ac:dyDescent="0.3">
      <c r="E11" s="41"/>
    </row>
    <row r="12" spans="1:13" x14ac:dyDescent="0.3">
      <c r="E12" s="41"/>
    </row>
    <row r="13" spans="1:13" x14ac:dyDescent="0.3">
      <c r="E13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4076-95C0-4210-A168-0A43C1ED9488}">
  <dimension ref="B1:U21"/>
  <sheetViews>
    <sheetView showGridLines="0" workbookViewId="0">
      <pane xSplit="3" topLeftCell="D1" activePane="topRight" state="frozen"/>
      <selection pane="topRight" activeCell="E6" sqref="E6"/>
    </sheetView>
  </sheetViews>
  <sheetFormatPr defaultRowHeight="14.4" x14ac:dyDescent="0.3"/>
  <cols>
    <col min="1" max="1" width="3" customWidth="1"/>
    <col min="2" max="2" width="7.33203125" bestFit="1" customWidth="1"/>
    <col min="3" max="3" width="13.44140625" bestFit="1" customWidth="1"/>
    <col min="4" max="18" width="9.6640625" customWidth="1"/>
    <col min="20" max="21" width="9.33203125" bestFit="1" customWidth="1"/>
  </cols>
  <sheetData>
    <row r="1" spans="2:21" x14ac:dyDescent="0.3"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2" spans="2:21" ht="22.8" customHeight="1" x14ac:dyDescent="0.3">
      <c r="B2" s="64" t="s">
        <v>268</v>
      </c>
      <c r="C2" s="65" t="s">
        <v>269</v>
      </c>
      <c r="D2" s="66" t="s">
        <v>281</v>
      </c>
      <c r="E2" s="66" t="s">
        <v>270</v>
      </c>
      <c r="F2" s="66" t="s">
        <v>282</v>
      </c>
      <c r="G2" s="66" t="s">
        <v>283</v>
      </c>
      <c r="H2" s="66" t="s">
        <v>284</v>
      </c>
      <c r="I2" s="66" t="s">
        <v>285</v>
      </c>
      <c r="J2" s="66" t="s">
        <v>271</v>
      </c>
      <c r="K2" s="66" t="s">
        <v>286</v>
      </c>
      <c r="L2" s="66" t="s">
        <v>287</v>
      </c>
      <c r="M2" s="66" t="s">
        <v>288</v>
      </c>
      <c r="N2" s="66" t="s">
        <v>272</v>
      </c>
      <c r="O2" s="66" t="s">
        <v>289</v>
      </c>
      <c r="P2" s="66" t="s">
        <v>273</v>
      </c>
      <c r="Q2" s="66" t="s">
        <v>290</v>
      </c>
      <c r="R2" s="66" t="s">
        <v>291</v>
      </c>
      <c r="S2" s="66" t="s">
        <v>294</v>
      </c>
      <c r="T2" s="66" t="s">
        <v>332</v>
      </c>
      <c r="U2" s="66" t="s">
        <v>316</v>
      </c>
    </row>
    <row r="3" spans="2:21" x14ac:dyDescent="0.3">
      <c r="B3" s="60">
        <v>1</v>
      </c>
      <c r="C3" t="s">
        <v>274</v>
      </c>
      <c r="D3" s="73">
        <v>1484.4</v>
      </c>
      <c r="E3" s="73">
        <v>82.98</v>
      </c>
      <c r="F3" s="73">
        <v>286238.95</v>
      </c>
      <c r="G3" s="73">
        <v>28.84</v>
      </c>
      <c r="H3" s="73">
        <v>6747.79</v>
      </c>
      <c r="I3" s="73">
        <v>84.21</v>
      </c>
      <c r="J3" s="62">
        <v>53.37</v>
      </c>
      <c r="K3" s="62">
        <v>192.83</v>
      </c>
      <c r="L3" s="62">
        <v>192.83</v>
      </c>
      <c r="M3" s="62">
        <v>444.16</v>
      </c>
      <c r="N3" s="62">
        <v>0.08</v>
      </c>
      <c r="O3" s="62">
        <v>285342.24</v>
      </c>
      <c r="P3" s="62">
        <v>115.27</v>
      </c>
      <c r="Q3" s="62">
        <v>5346.41</v>
      </c>
      <c r="R3" s="62">
        <v>3451.73</v>
      </c>
      <c r="S3" s="73">
        <v>0.51</v>
      </c>
      <c r="T3" s="62">
        <v>23154.6</v>
      </c>
      <c r="U3" s="62">
        <v>3451.73</v>
      </c>
    </row>
    <row r="4" spans="2:21" x14ac:dyDescent="0.3">
      <c r="B4" s="69">
        <f>B3+1</f>
        <v>2</v>
      </c>
      <c r="C4" s="70" t="s">
        <v>275</v>
      </c>
      <c r="D4" s="71">
        <v>5517.8</v>
      </c>
      <c r="E4" s="71">
        <v>52.44</v>
      </c>
      <c r="F4" s="71">
        <v>132906.25</v>
      </c>
      <c r="G4" s="71">
        <v>21.14</v>
      </c>
      <c r="H4" s="71">
        <v>4718.92</v>
      </c>
      <c r="I4" s="71">
        <v>56.02</v>
      </c>
      <c r="J4" s="71">
        <v>35.83</v>
      </c>
      <c r="K4" s="71">
        <v>24.09</v>
      </c>
      <c r="L4" s="71">
        <v>24.09</v>
      </c>
      <c r="M4" s="71">
        <v>1380.28</v>
      </c>
      <c r="N4" s="71">
        <v>0.27</v>
      </c>
      <c r="O4" s="71">
        <v>133934.09</v>
      </c>
      <c r="P4" s="71">
        <v>60.39</v>
      </c>
      <c r="Q4" s="71">
        <v>3738.37</v>
      </c>
      <c r="R4" s="71">
        <v>2533.4899999999998</v>
      </c>
      <c r="S4" s="71">
        <v>0.435</v>
      </c>
      <c r="T4" s="71">
        <v>19151.59</v>
      </c>
      <c r="U4" s="71">
        <v>2537.0100000000002</v>
      </c>
    </row>
    <row r="5" spans="2:21" x14ac:dyDescent="0.3">
      <c r="B5" s="72">
        <f t="shared" ref="B5:B11" si="0">B4+1</f>
        <v>3</v>
      </c>
      <c r="C5" s="70" t="s">
        <v>276</v>
      </c>
      <c r="D5" s="73">
        <v>673.3</v>
      </c>
      <c r="E5" s="73">
        <v>67.61</v>
      </c>
      <c r="F5" s="73">
        <v>16882.09</v>
      </c>
      <c r="G5" s="73">
        <v>117.64</v>
      </c>
      <c r="H5" s="73">
        <v>790.01</v>
      </c>
      <c r="I5" s="73">
        <v>18.16</v>
      </c>
      <c r="J5" s="73">
        <v>38.369999999999997</v>
      </c>
      <c r="K5" s="73">
        <v>25.07</v>
      </c>
      <c r="L5" s="73">
        <v>25.04</v>
      </c>
      <c r="M5" s="73">
        <v>309.73</v>
      </c>
      <c r="N5" s="73">
        <v>0.21</v>
      </c>
      <c r="O5" s="73">
        <v>16905.77</v>
      </c>
      <c r="P5" s="73">
        <v>183.18</v>
      </c>
      <c r="Q5" s="73">
        <v>362.52</v>
      </c>
      <c r="R5" s="73">
        <v>249.6</v>
      </c>
      <c r="S5" s="73">
        <v>1.1220000000000001</v>
      </c>
      <c r="T5" s="73">
        <v>2883.95</v>
      </c>
      <c r="U5" s="73">
        <v>249.6</v>
      </c>
    </row>
    <row r="6" spans="2:21" x14ac:dyDescent="0.3">
      <c r="B6" s="72">
        <f t="shared" si="0"/>
        <v>4</v>
      </c>
      <c r="C6" s="70" t="s">
        <v>277</v>
      </c>
      <c r="D6" s="73">
        <v>517</v>
      </c>
      <c r="E6" s="73">
        <v>68.37</v>
      </c>
      <c r="F6" s="73">
        <v>16448.97</v>
      </c>
      <c r="G6" s="73">
        <v>-643.12</v>
      </c>
      <c r="H6" s="73">
        <v>964.9</v>
      </c>
      <c r="I6" s="73">
        <v>6.16</v>
      </c>
      <c r="J6" s="73">
        <v>44.47</v>
      </c>
      <c r="K6" s="73">
        <v>31.82</v>
      </c>
      <c r="L6" s="73">
        <v>31.82</v>
      </c>
      <c r="M6" s="73">
        <v>3042</v>
      </c>
      <c r="N6" s="73">
        <v>0.53</v>
      </c>
      <c r="O6" s="73">
        <v>19369.47</v>
      </c>
      <c r="P6" s="73">
        <v>84.8</v>
      </c>
      <c r="Q6" s="73">
        <v>383.8</v>
      </c>
      <c r="R6" s="73">
        <v>240.42</v>
      </c>
      <c r="S6" s="73">
        <v>0.70599999999999996</v>
      </c>
      <c r="T6" s="73">
        <v>3389</v>
      </c>
      <c r="U6" s="73">
        <v>240</v>
      </c>
    </row>
    <row r="7" spans="2:21" x14ac:dyDescent="0.3">
      <c r="B7" s="72">
        <f t="shared" si="0"/>
        <v>5</v>
      </c>
      <c r="C7" s="70" t="s">
        <v>278</v>
      </c>
      <c r="D7" s="73">
        <v>333.05</v>
      </c>
      <c r="E7" s="73">
        <v>117.24</v>
      </c>
      <c r="F7" s="73">
        <v>4150.55</v>
      </c>
      <c r="G7" s="73">
        <v>190.04</v>
      </c>
      <c r="H7" s="73">
        <v>400.76</v>
      </c>
      <c r="I7" s="73">
        <v>16.309999999999999</v>
      </c>
      <c r="J7" s="73">
        <v>56.75</v>
      </c>
      <c r="K7" s="73">
        <v>12.46</v>
      </c>
      <c r="L7" s="73">
        <v>12.46</v>
      </c>
      <c r="M7" s="73">
        <v>64.92</v>
      </c>
      <c r="N7" s="73">
        <v>0.15</v>
      </c>
      <c r="O7" s="73">
        <v>4214.55</v>
      </c>
      <c r="P7" s="73">
        <v>104.32</v>
      </c>
      <c r="Q7" s="73">
        <v>108.98</v>
      </c>
      <c r="R7" s="73">
        <v>35.4</v>
      </c>
      <c r="S7" s="73">
        <v>0.76</v>
      </c>
      <c r="T7" s="73">
        <v>1416.08</v>
      </c>
      <c r="U7" s="73">
        <v>35.4</v>
      </c>
    </row>
    <row r="8" spans="2:21" x14ac:dyDescent="0.3">
      <c r="B8" s="72">
        <f t="shared" si="0"/>
        <v>6</v>
      </c>
      <c r="C8" s="70" t="s">
        <v>279</v>
      </c>
      <c r="D8" s="73">
        <v>2286.1999999999998</v>
      </c>
      <c r="E8" s="73">
        <v>49.19</v>
      </c>
      <c r="F8" s="73">
        <v>537163.66</v>
      </c>
      <c r="G8" s="73">
        <v>8.6199999999999992</v>
      </c>
      <c r="H8" s="73">
        <v>16351</v>
      </c>
      <c r="I8" s="73">
        <v>28.42</v>
      </c>
      <c r="J8" s="73">
        <v>33.909999999999997</v>
      </c>
      <c r="K8" s="73">
        <v>234.96</v>
      </c>
      <c r="L8" s="73">
        <v>234.96</v>
      </c>
      <c r="M8" s="73">
        <v>1478</v>
      </c>
      <c r="N8" s="73">
        <v>0.03</v>
      </c>
      <c r="O8" s="73">
        <v>535393.66</v>
      </c>
      <c r="P8" s="73">
        <v>46.98</v>
      </c>
      <c r="Q8" s="73">
        <v>15790</v>
      </c>
      <c r="R8" s="73">
        <v>10927.02</v>
      </c>
      <c r="S8" s="73">
        <v>0.51400000000000001</v>
      </c>
      <c r="T8" s="73">
        <v>64468</v>
      </c>
      <c r="U8" s="73">
        <v>10927.02</v>
      </c>
    </row>
    <row r="9" spans="2:21" x14ac:dyDescent="0.3">
      <c r="B9" s="72">
        <f t="shared" si="0"/>
        <v>7</v>
      </c>
      <c r="C9" t="s">
        <v>280</v>
      </c>
      <c r="D9" s="74">
        <v>307.5</v>
      </c>
      <c r="E9" s="74">
        <v>18.79</v>
      </c>
      <c r="F9" s="74">
        <v>385281.07</v>
      </c>
      <c r="G9" s="74">
        <v>9.6199999999999992</v>
      </c>
      <c r="H9" s="74">
        <v>20047.3</v>
      </c>
      <c r="I9" s="74">
        <v>36.79</v>
      </c>
      <c r="J9" s="74">
        <v>12.84</v>
      </c>
      <c r="K9" s="74">
        <v>1252.95</v>
      </c>
      <c r="L9" s="74">
        <v>1248.47</v>
      </c>
      <c r="M9" s="74">
        <v>362.97</v>
      </c>
      <c r="N9" s="74">
        <v>0.01</v>
      </c>
      <c r="O9" s="74">
        <v>381597.68</v>
      </c>
      <c r="P9" s="74">
        <v>25.44</v>
      </c>
      <c r="Q9" s="74">
        <v>28479.56</v>
      </c>
      <c r="R9" s="74">
        <v>20630</v>
      </c>
      <c r="S9" s="73">
        <v>0.57199999999999995</v>
      </c>
      <c r="T9" s="74">
        <v>79808.72</v>
      </c>
      <c r="U9" s="74">
        <v>20630</v>
      </c>
    </row>
    <row r="10" spans="2:21" x14ac:dyDescent="0.3">
      <c r="B10" s="72">
        <f t="shared" si="0"/>
        <v>8</v>
      </c>
      <c r="C10" t="s">
        <v>292</v>
      </c>
      <c r="D10" s="74">
        <v>831</v>
      </c>
      <c r="E10" s="74">
        <v>61.27</v>
      </c>
      <c r="F10" s="74">
        <v>107876.16</v>
      </c>
      <c r="G10" s="74">
        <v>13.99</v>
      </c>
      <c r="H10" s="74">
        <v>3333</v>
      </c>
      <c r="I10" s="74">
        <v>47.21</v>
      </c>
      <c r="J10" s="74">
        <v>42.63</v>
      </c>
      <c r="K10" s="74">
        <v>129.81</v>
      </c>
      <c r="L10" s="74">
        <v>129.55000000000001</v>
      </c>
      <c r="M10" s="74">
        <v>557</v>
      </c>
      <c r="N10" s="74">
        <v>0.13</v>
      </c>
      <c r="O10" s="74">
        <v>107940.16</v>
      </c>
      <c r="P10" s="74">
        <v>76.91</v>
      </c>
      <c r="Q10" s="74">
        <v>2532</v>
      </c>
      <c r="R10" s="74">
        <v>1762</v>
      </c>
      <c r="S10" s="73">
        <v>0.45800000000000002</v>
      </c>
      <c r="T10" s="73">
        <v>13611</v>
      </c>
      <c r="U10" s="73">
        <v>1762</v>
      </c>
    </row>
    <row r="11" spans="2:21" x14ac:dyDescent="0.3">
      <c r="B11" s="72">
        <f t="shared" si="0"/>
        <v>9</v>
      </c>
      <c r="C11" t="s">
        <v>293</v>
      </c>
      <c r="D11" s="74">
        <v>459.5</v>
      </c>
      <c r="E11" s="74">
        <v>29.75</v>
      </c>
      <c r="F11" s="74">
        <v>49998.38</v>
      </c>
      <c r="G11" s="74">
        <v>68.209999999999994</v>
      </c>
      <c r="H11" s="74">
        <v>10483.709999999999</v>
      </c>
      <c r="I11" s="74">
        <v>15.55</v>
      </c>
      <c r="J11" s="74">
        <v>25.67</v>
      </c>
      <c r="K11" s="74">
        <v>108.81</v>
      </c>
      <c r="L11" s="74">
        <v>108.6</v>
      </c>
      <c r="M11" s="74">
        <v>2895.22</v>
      </c>
      <c r="N11" s="74">
        <v>0.24</v>
      </c>
      <c r="O11" s="74">
        <v>51294.27</v>
      </c>
      <c r="P11" s="74">
        <v>113.87</v>
      </c>
      <c r="Q11" s="74">
        <v>2088.81</v>
      </c>
      <c r="R11" s="74">
        <v>1679.58</v>
      </c>
      <c r="S11" s="73">
        <v>1.1399999999999999</v>
      </c>
      <c r="T11" s="73">
        <v>38718</v>
      </c>
      <c r="U11" s="73">
        <v>1679.58</v>
      </c>
    </row>
    <row r="13" spans="2:21" x14ac:dyDescent="0.3">
      <c r="C13" s="61"/>
    </row>
    <row r="14" spans="2:21" x14ac:dyDescent="0.3">
      <c r="C14" s="67"/>
    </row>
    <row r="15" spans="2:21" x14ac:dyDescent="0.3">
      <c r="C15" s="61"/>
    </row>
    <row r="16" spans="2:21" x14ac:dyDescent="0.3">
      <c r="C16" s="61"/>
    </row>
    <row r="17" spans="3:3" x14ac:dyDescent="0.3">
      <c r="C17" s="61"/>
    </row>
    <row r="18" spans="3:3" x14ac:dyDescent="0.3">
      <c r="C18" s="70"/>
    </row>
    <row r="19" spans="3:3" x14ac:dyDescent="0.3">
      <c r="C19" s="70"/>
    </row>
    <row r="20" spans="3:3" x14ac:dyDescent="0.3">
      <c r="C20" s="70"/>
    </row>
    <row r="21" spans="3:3" x14ac:dyDescent="0.3">
      <c r="C21" s="6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886D-CF6D-4C7C-AED0-9B1FBA860144}">
  <dimension ref="A1:U26"/>
  <sheetViews>
    <sheetView showGridLines="0" zoomScale="74" workbookViewId="0">
      <selection activeCell="L26" sqref="L26"/>
    </sheetView>
  </sheetViews>
  <sheetFormatPr defaultColWidth="11.77734375" defaultRowHeight="14.4" x14ac:dyDescent="0.3"/>
  <cols>
    <col min="1" max="3" width="1.33203125" style="1" customWidth="1"/>
    <col min="4" max="4" width="40.77734375" customWidth="1"/>
    <col min="5" max="6" width="12.77734375" customWidth="1"/>
    <col min="7" max="7" width="2.77734375" customWidth="1"/>
    <col min="8" max="8" width="12.77734375" bestFit="1" customWidth="1"/>
    <col min="10" max="10" width="12.77734375" bestFit="1" customWidth="1"/>
    <col min="13" max="13" width="12.77734375" bestFit="1" customWidth="1"/>
  </cols>
  <sheetData>
    <row r="1" spans="1:21" ht="32.4" x14ac:dyDescent="0.6">
      <c r="A1" s="42" t="s">
        <v>155</v>
      </c>
      <c r="B1" s="9"/>
      <c r="C1" s="9"/>
      <c r="D1" s="10"/>
      <c r="E1" s="10"/>
      <c r="F1" s="10"/>
      <c r="G1" s="10"/>
      <c r="H1" s="13"/>
      <c r="I1" s="14"/>
      <c r="J1" s="14"/>
      <c r="K1" s="14"/>
      <c r="L1" s="14"/>
      <c r="M1" s="14"/>
      <c r="N1" s="83"/>
      <c r="O1" s="84"/>
      <c r="P1" s="84"/>
      <c r="Q1" s="84"/>
      <c r="R1" s="84"/>
      <c r="S1" s="84"/>
    </row>
    <row r="2" spans="1:21" ht="19.8" x14ac:dyDescent="0.4">
      <c r="A2" s="18" t="s">
        <v>307</v>
      </c>
      <c r="B2" s="19"/>
      <c r="C2" s="19"/>
      <c r="D2" s="12"/>
      <c r="E2" s="12"/>
      <c r="F2" s="29"/>
      <c r="G2" s="12"/>
      <c r="H2" s="26"/>
      <c r="I2" s="26"/>
      <c r="J2" s="26"/>
      <c r="K2" s="26"/>
      <c r="L2" s="26"/>
      <c r="M2" s="26"/>
      <c r="N2" s="85"/>
      <c r="O2" s="86"/>
      <c r="P2" s="86"/>
      <c r="Q2" s="86"/>
      <c r="R2" s="86"/>
      <c r="S2" s="86"/>
    </row>
    <row r="5" spans="1:21" x14ac:dyDescent="0.3">
      <c r="D5" s="12"/>
      <c r="E5" s="12"/>
      <c r="F5" s="12"/>
      <c r="G5" s="12"/>
      <c r="H5" s="12" t="s">
        <v>308</v>
      </c>
      <c r="I5" s="12"/>
      <c r="J5" s="12"/>
      <c r="K5" s="12"/>
      <c r="L5" s="12"/>
      <c r="M5" s="12"/>
      <c r="N5" s="12"/>
      <c r="O5" s="12" t="s">
        <v>309</v>
      </c>
      <c r="P5" s="12"/>
      <c r="Q5" s="12"/>
      <c r="R5" s="12"/>
      <c r="S5" s="12" t="s">
        <v>310</v>
      </c>
      <c r="T5" s="12"/>
      <c r="U5" s="12"/>
    </row>
    <row r="6" spans="1:21" x14ac:dyDescent="0.3">
      <c r="D6" s="12"/>
      <c r="E6" s="12"/>
      <c r="F6" s="12"/>
      <c r="G6" s="12"/>
      <c r="H6" s="12" t="s">
        <v>311</v>
      </c>
      <c r="I6" s="12" t="s">
        <v>312</v>
      </c>
      <c r="J6" s="12" t="s">
        <v>313</v>
      </c>
      <c r="K6" s="12" t="s">
        <v>193</v>
      </c>
      <c r="L6" s="12" t="s">
        <v>179</v>
      </c>
      <c r="M6" s="12" t="s">
        <v>314</v>
      </c>
      <c r="N6" s="12"/>
      <c r="O6" s="12" t="s">
        <v>315</v>
      </c>
      <c r="P6" s="12" t="s">
        <v>170</v>
      </c>
      <c r="Q6" s="12" t="s">
        <v>316</v>
      </c>
      <c r="R6" s="12"/>
      <c r="S6" s="12" t="s">
        <v>317</v>
      </c>
      <c r="T6" s="12" t="s">
        <v>318</v>
      </c>
      <c r="U6" s="12" t="s">
        <v>270</v>
      </c>
    </row>
    <row r="7" spans="1:21" x14ac:dyDescent="0.3">
      <c r="D7" s="12" t="s">
        <v>319</v>
      </c>
      <c r="E7" s="12"/>
      <c r="F7" s="12"/>
      <c r="G7" s="12"/>
      <c r="H7" s="12" t="s">
        <v>320</v>
      </c>
      <c r="I7" s="12" t="s">
        <v>330</v>
      </c>
      <c r="J7" s="12" t="s">
        <v>331</v>
      </c>
      <c r="K7" s="12" t="s">
        <v>331</v>
      </c>
      <c r="L7" s="12" t="s">
        <v>331</v>
      </c>
      <c r="M7" s="12" t="s">
        <v>331</v>
      </c>
      <c r="N7" s="12"/>
      <c r="O7" s="12" t="s">
        <v>331</v>
      </c>
      <c r="P7" s="12" t="s">
        <v>331</v>
      </c>
      <c r="Q7" s="12" t="s">
        <v>331</v>
      </c>
      <c r="R7" s="12"/>
      <c r="S7" s="12" t="s">
        <v>321</v>
      </c>
      <c r="T7" s="12" t="s">
        <v>321</v>
      </c>
      <c r="U7" s="12" t="s">
        <v>321</v>
      </c>
    </row>
    <row r="8" spans="1:21" x14ac:dyDescent="0.3">
      <c r="D8" t="str" cm="1">
        <f t="array" ref="D8:D16">'Comp Data'!C3:C11</f>
        <v>Nestle India</v>
      </c>
      <c r="H8" s="82">
        <f>'Comp Data'!D3</f>
        <v>1484.4</v>
      </c>
      <c r="I8">
        <f>'Comp Data'!K3</f>
        <v>192.83</v>
      </c>
      <c r="J8" s="82">
        <f>H8*I8</f>
        <v>286236.85200000001</v>
      </c>
      <c r="K8" s="82">
        <f>'Comp Data'!M3</f>
        <v>444.16</v>
      </c>
      <c r="L8" s="82">
        <f>'Comp Data'!P3</f>
        <v>115.27</v>
      </c>
      <c r="M8" s="82">
        <f>'Comp Data'!O3</f>
        <v>285342.24</v>
      </c>
      <c r="O8" s="82">
        <f>'Comp Data'!T3</f>
        <v>23154.6</v>
      </c>
      <c r="P8" s="82">
        <f>'Comp Data'!Q3</f>
        <v>5346.41</v>
      </c>
      <c r="Q8" s="82" cm="1">
        <f t="array" ref="Q8:Q16">'Comp Data'!U3:U11</f>
        <v>3451.73</v>
      </c>
      <c r="S8">
        <f>M8/O8</f>
        <v>12.323350003886917</v>
      </c>
      <c r="T8">
        <f>M8/P8</f>
        <v>53.370811441696389</v>
      </c>
      <c r="U8">
        <f>J8/Q8</f>
        <v>82.925620485959215</v>
      </c>
    </row>
    <row r="9" spans="1:21" x14ac:dyDescent="0.3">
      <c r="D9" s="4" t="str">
        <v>Britannia Inds.</v>
      </c>
      <c r="E9" s="4"/>
      <c r="F9" s="4"/>
      <c r="G9" s="4"/>
      <c r="H9" s="133">
        <f>'Comp Data'!D4</f>
        <v>5517.8</v>
      </c>
      <c r="I9" s="4">
        <f>'Comp Data'!K4</f>
        <v>24.09</v>
      </c>
      <c r="J9" s="133">
        <f t="shared" ref="J9:J16" si="0">H9*I9</f>
        <v>132923.802</v>
      </c>
      <c r="K9" s="133">
        <f>'Comp Data'!M4</f>
        <v>1380.28</v>
      </c>
      <c r="L9" s="133">
        <f>'Comp Data'!P4</f>
        <v>60.39</v>
      </c>
      <c r="M9" s="133">
        <f>'Comp Data'!O4</f>
        <v>133934.09</v>
      </c>
      <c r="N9" s="4"/>
      <c r="O9" s="133">
        <f>'Comp Data'!T4</f>
        <v>19151.59</v>
      </c>
      <c r="P9" s="133">
        <f>'Comp Data'!Q4</f>
        <v>3738.37</v>
      </c>
      <c r="Q9" s="133">
        <v>2537.0100000000002</v>
      </c>
      <c r="R9" s="4"/>
      <c r="S9" s="4">
        <f t="shared" ref="S9:S15" si="1">M9/O9</f>
        <v>6.9933666082032877</v>
      </c>
      <c r="T9" s="4">
        <f>M9/P9</f>
        <v>35.826868394514186</v>
      </c>
      <c r="U9" s="4">
        <f t="shared" ref="U9:U15" si="2">J9/Q9</f>
        <v>52.39388177421452</v>
      </c>
    </row>
    <row r="10" spans="1:21" x14ac:dyDescent="0.3">
      <c r="D10" t="str">
        <v>Bikaji Foods</v>
      </c>
      <c r="H10" s="82">
        <f>'Comp Data'!D5</f>
        <v>673.3</v>
      </c>
      <c r="I10">
        <f>'Comp Data'!K5</f>
        <v>25.07</v>
      </c>
      <c r="J10" s="82">
        <f t="shared" si="0"/>
        <v>16879.630999999998</v>
      </c>
      <c r="K10" s="82">
        <f>'Comp Data'!M5</f>
        <v>309.73</v>
      </c>
      <c r="L10" s="82">
        <f>'Comp Data'!P5</f>
        <v>183.18</v>
      </c>
      <c r="M10" s="82">
        <f>'Comp Data'!O5</f>
        <v>16905.77</v>
      </c>
      <c r="O10" s="82">
        <f>'Comp Data'!T5</f>
        <v>2883.95</v>
      </c>
      <c r="P10" s="82">
        <f>'Comp Data'!Q5</f>
        <v>362.52</v>
      </c>
      <c r="Q10" s="82">
        <v>249.6</v>
      </c>
      <c r="S10">
        <f t="shared" si="1"/>
        <v>5.8620191057403916</v>
      </c>
      <c r="T10">
        <f t="shared" ref="T10:T15" si="3">M10/P10</f>
        <v>46.6340339843319</v>
      </c>
      <c r="U10">
        <f t="shared" si="2"/>
        <v>67.62672676282051</v>
      </c>
    </row>
    <row r="11" spans="1:21" x14ac:dyDescent="0.3">
      <c r="D11" t="str">
        <v>Zydus Wellness</v>
      </c>
      <c r="H11" s="82">
        <f>'Comp Data'!D6</f>
        <v>517</v>
      </c>
      <c r="I11">
        <f>'Comp Data'!K6</f>
        <v>31.82</v>
      </c>
      <c r="J11" s="82">
        <f t="shared" si="0"/>
        <v>16450.939999999999</v>
      </c>
      <c r="K11" s="82">
        <f>'Comp Data'!M6</f>
        <v>3042</v>
      </c>
      <c r="L11" s="82">
        <f>'Comp Data'!P6</f>
        <v>84.8</v>
      </c>
      <c r="M11" s="82">
        <f>'Comp Data'!O6</f>
        <v>19369.47</v>
      </c>
      <c r="O11" s="82">
        <f>'Comp Data'!T6</f>
        <v>3389</v>
      </c>
      <c r="P11" s="82">
        <f>'Comp Data'!Q6</f>
        <v>383.8</v>
      </c>
      <c r="Q11" s="82">
        <v>240</v>
      </c>
      <c r="S11">
        <f t="shared" si="1"/>
        <v>5.7153939215107705</v>
      </c>
      <c r="T11">
        <f t="shared" si="3"/>
        <v>50.467613340281396</v>
      </c>
      <c r="U11">
        <f t="shared" si="2"/>
        <v>68.545583333333326</v>
      </c>
    </row>
    <row r="12" spans="1:21" x14ac:dyDescent="0.3">
      <c r="D12" t="str">
        <v>Gopal Snacks</v>
      </c>
      <c r="H12" s="82">
        <f>'Comp Data'!D7</f>
        <v>333.05</v>
      </c>
      <c r="I12">
        <f>'Comp Data'!K7</f>
        <v>12.46</v>
      </c>
      <c r="J12" s="82">
        <f t="shared" si="0"/>
        <v>4149.8030000000008</v>
      </c>
      <c r="K12" s="82">
        <f>'Comp Data'!M7</f>
        <v>64.92</v>
      </c>
      <c r="L12" s="82">
        <f>'Comp Data'!P7</f>
        <v>104.32</v>
      </c>
      <c r="M12" s="82">
        <f>'Comp Data'!O7</f>
        <v>4214.55</v>
      </c>
      <c r="O12" s="82">
        <f>'Comp Data'!T7</f>
        <v>1416.08</v>
      </c>
      <c r="P12" s="82">
        <f>'Comp Data'!Q7</f>
        <v>108.98</v>
      </c>
      <c r="Q12" s="82">
        <v>35.4</v>
      </c>
      <c r="S12">
        <f t="shared" si="1"/>
        <v>2.9762089712445627</v>
      </c>
      <c r="T12">
        <f t="shared" si="3"/>
        <v>38.672692237107725</v>
      </c>
      <c r="U12">
        <f t="shared" si="2"/>
        <v>117.22607344632772</v>
      </c>
    </row>
    <row r="13" spans="1:21" x14ac:dyDescent="0.3">
      <c r="D13" t="str">
        <v>Hind. Unilever</v>
      </c>
      <c r="H13" s="82">
        <f>'Comp Data'!D8</f>
        <v>2286.1999999999998</v>
      </c>
      <c r="I13">
        <f>'Comp Data'!K8</f>
        <v>234.96</v>
      </c>
      <c r="J13" s="82">
        <f t="shared" si="0"/>
        <v>537165.55200000003</v>
      </c>
      <c r="K13" s="82">
        <f>'Comp Data'!M8</f>
        <v>1478</v>
      </c>
      <c r="L13" s="82">
        <f>'Comp Data'!P8</f>
        <v>46.98</v>
      </c>
      <c r="M13" s="82">
        <f>'Comp Data'!O8</f>
        <v>535393.66</v>
      </c>
      <c r="O13" s="82">
        <f>'Comp Data'!T8</f>
        <v>64468</v>
      </c>
      <c r="P13" s="82">
        <f>'Comp Data'!Q8</f>
        <v>15790</v>
      </c>
      <c r="Q13" s="82">
        <v>10927.02</v>
      </c>
      <c r="S13">
        <f t="shared" si="1"/>
        <v>8.304797108643049</v>
      </c>
      <c r="T13">
        <f t="shared" si="3"/>
        <v>33.907134895503482</v>
      </c>
      <c r="U13">
        <f t="shared" si="2"/>
        <v>49.159382155427558</v>
      </c>
    </row>
    <row r="14" spans="1:21" x14ac:dyDescent="0.3">
      <c r="D14" t="str">
        <v>ITC</v>
      </c>
      <c r="H14" s="82">
        <f>'Comp Data'!D9</f>
        <v>307.5</v>
      </c>
      <c r="I14">
        <f>'Comp Data'!K9</f>
        <v>1252.95</v>
      </c>
      <c r="J14" s="82">
        <f t="shared" si="0"/>
        <v>385282.125</v>
      </c>
      <c r="K14" s="82">
        <f>'Comp Data'!M9</f>
        <v>362.97</v>
      </c>
      <c r="L14" s="82">
        <f>'Comp Data'!P9</f>
        <v>25.44</v>
      </c>
      <c r="M14" s="82">
        <f>'Comp Data'!O9</f>
        <v>381597.68</v>
      </c>
      <c r="O14" s="82">
        <f>'Comp Data'!T9</f>
        <v>79808.72</v>
      </c>
      <c r="P14" s="82">
        <f>'Comp Data'!Q9</f>
        <v>28479.56</v>
      </c>
      <c r="Q14" s="82">
        <v>20630</v>
      </c>
      <c r="S14">
        <f t="shared" si="1"/>
        <v>4.7814033353748808</v>
      </c>
      <c r="T14">
        <f t="shared" si="3"/>
        <v>13.399001950872835</v>
      </c>
      <c r="U14">
        <f t="shared" si="2"/>
        <v>18.675817983519146</v>
      </c>
    </row>
    <row r="15" spans="1:21" x14ac:dyDescent="0.3">
      <c r="D15" t="str">
        <v>Marico</v>
      </c>
      <c r="H15" s="82">
        <f>'Comp Data'!D10</f>
        <v>831</v>
      </c>
      <c r="I15">
        <f>'Comp Data'!K10</f>
        <v>129.81</v>
      </c>
      <c r="J15" s="82">
        <f t="shared" si="0"/>
        <v>107872.11</v>
      </c>
      <c r="K15" s="82">
        <f>'Comp Data'!M10</f>
        <v>557</v>
      </c>
      <c r="L15" s="82">
        <f>'Comp Data'!P10</f>
        <v>76.91</v>
      </c>
      <c r="M15" s="82">
        <f>'Comp Data'!O10</f>
        <v>107940.16</v>
      </c>
      <c r="O15" s="82">
        <f>'Comp Data'!T10</f>
        <v>13611</v>
      </c>
      <c r="P15" s="82">
        <f>'Comp Data'!Q10</f>
        <v>2532</v>
      </c>
      <c r="Q15" s="82">
        <v>1762</v>
      </c>
      <c r="S15">
        <f t="shared" si="1"/>
        <v>7.9303622070384252</v>
      </c>
      <c r="T15">
        <f t="shared" si="3"/>
        <v>42.630394944707746</v>
      </c>
      <c r="U15">
        <f t="shared" si="2"/>
        <v>61.221401816118046</v>
      </c>
    </row>
    <row r="16" spans="1:21" x14ac:dyDescent="0.3">
      <c r="D16" t="str">
        <v>Patanjali Foods</v>
      </c>
      <c r="H16" s="82">
        <f>'Comp Data'!D11</f>
        <v>459.5</v>
      </c>
      <c r="I16">
        <f>'Comp Data'!K11</f>
        <v>108.81</v>
      </c>
      <c r="J16" s="82">
        <f t="shared" si="0"/>
        <v>49998.195</v>
      </c>
      <c r="K16" s="82">
        <f>'Comp Data'!M11</f>
        <v>2895.22</v>
      </c>
      <c r="L16" s="82">
        <f>'Comp Data'!P11</f>
        <v>113.87</v>
      </c>
      <c r="M16" s="82">
        <f>'Comp Data'!O11</f>
        <v>51294.27</v>
      </c>
      <c r="O16" s="82">
        <f>'Comp Data'!T11</f>
        <v>38718</v>
      </c>
      <c r="P16" s="82">
        <f>'Comp Data'!Q11</f>
        <v>2088.81</v>
      </c>
      <c r="Q16" s="82">
        <v>1679.58</v>
      </c>
      <c r="S16">
        <f t="shared" ref="S16" si="4">M16/O16</f>
        <v>1.3248171393150472</v>
      </c>
      <c r="T16">
        <f t="shared" ref="T16" si="5">M16/P16</f>
        <v>24.556694960288393</v>
      </c>
      <c r="U16">
        <f t="shared" ref="U16" si="6">J16/Q16</f>
        <v>29.768272425249169</v>
      </c>
    </row>
    <row r="18" spans="4:21" x14ac:dyDescent="0.3">
      <c r="D18" s="89" t="s">
        <v>322</v>
      </c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>
        <f>AVERAGE(S8:S15)</f>
        <v>6.8608626577052858</v>
      </c>
      <c r="T18" s="89">
        <f>AVERAGE(T8:T15)</f>
        <v>39.363568898626959</v>
      </c>
      <c r="U18" s="89">
        <f>AVERAGE(U8:U15)</f>
        <v>64.721810969715023</v>
      </c>
    </row>
    <row r="19" spans="4:21" x14ac:dyDescent="0.3">
      <c r="D19" s="89" t="s">
        <v>323</v>
      </c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>
        <f>MEDIAN(S8:S15)</f>
        <v>6.4276928569718397</v>
      </c>
      <c r="T19" s="89">
        <f>MEDIAN(T8:T15)</f>
        <v>40.651543590907735</v>
      </c>
      <c r="U19" s="89">
        <f>MEDIAN(U8:U15)</f>
        <v>64.424064289469271</v>
      </c>
    </row>
    <row r="21" spans="4:21" x14ac:dyDescent="0.3">
      <c r="D21" t="str">
        <f>D9</f>
        <v>Britannia Inds.</v>
      </c>
      <c r="H21" s="82" cm="1">
        <f t="array" ref="H21:M21">H9:M9</f>
        <v>5517.8</v>
      </c>
      <c r="I21">
        <v>24.09</v>
      </c>
      <c r="J21" s="82">
        <v>132923.802</v>
      </c>
      <c r="K21" s="82">
        <v>1380.28</v>
      </c>
      <c r="L21" s="82">
        <v>60.39</v>
      </c>
      <c r="M21" s="82">
        <v>133934.09</v>
      </c>
      <c r="O21" s="82" cm="1">
        <f t="array" ref="O21:Q21">O9:Q9</f>
        <v>19151.59</v>
      </c>
      <c r="P21">
        <v>3738.37</v>
      </c>
      <c r="Q21">
        <v>2537.0100000000002</v>
      </c>
      <c r="S21">
        <f>S9</f>
        <v>6.9933666082032877</v>
      </c>
      <c r="T21">
        <f t="shared" ref="T21:U21" si="7">T9</f>
        <v>35.826868394514186</v>
      </c>
      <c r="U21">
        <f t="shared" si="7"/>
        <v>52.39388177421452</v>
      </c>
    </row>
    <row r="23" spans="4:21" x14ac:dyDescent="0.3">
      <c r="D23" s="89" t="s">
        <v>324</v>
      </c>
      <c r="E23" s="89" t="s">
        <v>325</v>
      </c>
      <c r="F23" s="89"/>
      <c r="G23" s="89"/>
      <c r="H23" s="89" t="s">
        <v>314</v>
      </c>
      <c r="I23" s="89" t="s">
        <v>326</v>
      </c>
      <c r="J23" s="89" t="s">
        <v>327</v>
      </c>
      <c r="K23" s="89" t="s">
        <v>328</v>
      </c>
      <c r="L23" s="89" t="s">
        <v>329</v>
      </c>
    </row>
    <row r="24" spans="4:21" x14ac:dyDescent="0.3">
      <c r="D24" t="str" cm="1">
        <f t="array" ref="D24:D26">TRANSPOSE(S6:U6)</f>
        <v>EV/Sales</v>
      </c>
      <c r="E24" cm="1">
        <f t="array" ref="E24:E26">TRANSPOSE(S18:U18)</f>
        <v>6.8608626577052858</v>
      </c>
      <c r="H24" s="82">
        <f>E24*O21</f>
        <v>131396.42866668198</v>
      </c>
      <c r="I24" s="82">
        <f>K21-L21</f>
        <v>1319.8899999999999</v>
      </c>
      <c r="J24" s="82">
        <f>H24-I24</f>
        <v>130076.53866668198</v>
      </c>
      <c r="K24">
        <f>I21</f>
        <v>24.09</v>
      </c>
      <c r="L24">
        <f>J24/K24</f>
        <v>5399.6072505887087</v>
      </c>
    </row>
    <row r="25" spans="4:21" x14ac:dyDescent="0.3">
      <c r="D25" t="str">
        <v>EV/EBITDA</v>
      </c>
      <c r="E25">
        <v>39.363568898626959</v>
      </c>
      <c r="H25" s="82">
        <f>E25*P21</f>
        <v>147155.58506356005</v>
      </c>
      <c r="I25" s="82">
        <f>I24</f>
        <v>1319.8899999999999</v>
      </c>
      <c r="J25" s="82">
        <f>H25-I25</f>
        <v>145835.69506356004</v>
      </c>
      <c r="K25">
        <f>K24</f>
        <v>24.09</v>
      </c>
      <c r="L25">
        <f>J25/K25</f>
        <v>6053.7855983212967</v>
      </c>
    </row>
    <row r="26" spans="4:21" x14ac:dyDescent="0.3">
      <c r="D26" t="str">
        <v>P/E</v>
      </c>
      <c r="E26">
        <v>64.721810969715023</v>
      </c>
      <c r="H26" s="82">
        <f>SUM(I26:J26)</f>
        <v>165519.77164827674</v>
      </c>
      <c r="I26" s="82">
        <f>I25</f>
        <v>1319.8899999999999</v>
      </c>
      <c r="J26" s="82">
        <f>E26*Q21</f>
        <v>164199.88164827673</v>
      </c>
      <c r="K26">
        <f>K25</f>
        <v>24.09</v>
      </c>
      <c r="L26">
        <f>J26/K26</f>
        <v>6816.1013552626291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7667-F875-498D-93D7-A38751BA4BE3}">
  <dimension ref="A1:N48"/>
  <sheetViews>
    <sheetView showGridLines="0" zoomScale="54" workbookViewId="0">
      <selection activeCell="H47" sqref="H47"/>
    </sheetView>
  </sheetViews>
  <sheetFormatPr defaultColWidth="11.77734375" defaultRowHeight="14.4" x14ac:dyDescent="0.3"/>
  <cols>
    <col min="1" max="3" width="1.33203125" style="1" customWidth="1"/>
    <col min="4" max="4" width="40.77734375" customWidth="1"/>
    <col min="5" max="6" width="12.77734375" customWidth="1"/>
    <col min="7" max="7" width="2.77734375" customWidth="1"/>
    <col min="8" max="8" width="22.21875" bestFit="1" customWidth="1"/>
    <col min="9" max="10" width="11.88671875" bestFit="1" customWidth="1"/>
  </cols>
  <sheetData>
    <row r="1" spans="1:14" s="76" customFormat="1" ht="32.4" x14ac:dyDescent="0.6">
      <c r="A1" s="42" t="s">
        <v>400</v>
      </c>
      <c r="B1" s="43"/>
      <c r="C1" s="43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s="76" customFormat="1" ht="23.4" x14ac:dyDescent="0.45">
      <c r="A2" s="44" t="s">
        <v>375</v>
      </c>
      <c r="B2" s="45"/>
      <c r="C2" s="43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5" spans="1:14" x14ac:dyDescent="0.3">
      <c r="A5" s="21" t="s">
        <v>376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x14ac:dyDescent="0.3">
      <c r="D6" s="4"/>
      <c r="E6" s="4"/>
      <c r="F6" s="4"/>
      <c r="G6" s="4"/>
      <c r="H6" s="112" t="s">
        <v>57</v>
      </c>
      <c r="I6" s="112" t="s">
        <v>377</v>
      </c>
      <c r="J6" s="112" t="s">
        <v>378</v>
      </c>
      <c r="K6" s="112" t="s">
        <v>378</v>
      </c>
      <c r="L6" s="112" t="s">
        <v>379</v>
      </c>
      <c r="M6" s="112" t="s">
        <v>380</v>
      </c>
      <c r="N6" s="112" t="s">
        <v>381</v>
      </c>
    </row>
    <row r="7" spans="1:14" x14ac:dyDescent="0.3">
      <c r="D7" s="90" t="s">
        <v>269</v>
      </c>
      <c r="E7" s="90"/>
      <c r="F7" s="90"/>
      <c r="G7" s="90"/>
      <c r="H7" s="113" t="s">
        <v>382</v>
      </c>
      <c r="I7" s="113" t="s">
        <v>193</v>
      </c>
      <c r="J7" s="113" t="s">
        <v>57</v>
      </c>
      <c r="K7" s="113" t="s">
        <v>383</v>
      </c>
      <c r="L7" s="113" t="s">
        <v>384</v>
      </c>
      <c r="M7" s="113" t="s">
        <v>305</v>
      </c>
      <c r="N7" s="113" t="s">
        <v>305</v>
      </c>
    </row>
    <row r="8" spans="1:14" x14ac:dyDescent="0.3">
      <c r="D8" t="str">
        <f>'Comp Data'!C3</f>
        <v>Nestle India</v>
      </c>
      <c r="H8" s="82">
        <f>Comps!J8</f>
        <v>286236.85200000001</v>
      </c>
      <c r="I8" s="82">
        <f>Comps!K8</f>
        <v>444.16</v>
      </c>
      <c r="J8" s="68">
        <f>I8/H8</f>
        <v>1.5517219285237248E-3</v>
      </c>
      <c r="K8" s="68">
        <f>I8/(I8+H8)</f>
        <v>1.5493178180911403E-3</v>
      </c>
      <c r="L8" s="46">
        <v>0.25</v>
      </c>
      <c r="M8" s="47">
        <f>'Comp Data'!S3</f>
        <v>0.51</v>
      </c>
      <c r="N8" s="47">
        <f>M8/(J8*(1-L8)+1)</f>
        <v>0.50940715630875655</v>
      </c>
    </row>
    <row r="9" spans="1:14" x14ac:dyDescent="0.3">
      <c r="D9" s="4" t="str">
        <f>'Comp Data'!C4</f>
        <v>Britannia Inds.</v>
      </c>
      <c r="E9" s="4"/>
      <c r="F9" s="4"/>
      <c r="G9" s="4"/>
      <c r="H9" s="133">
        <f>Comps!J9</f>
        <v>132923.802</v>
      </c>
      <c r="I9" s="133">
        <f>Comps!K9</f>
        <v>1380.28</v>
      </c>
      <c r="J9" s="134">
        <f t="shared" ref="J9:J16" si="0">I9/H9</f>
        <v>1.0383994282679335E-2</v>
      </c>
      <c r="K9" s="134">
        <f t="shared" ref="K9:K16" si="1">I9/(I9+H9)</f>
        <v>1.0277275116626761E-2</v>
      </c>
      <c r="L9" s="135">
        <v>0.25</v>
      </c>
      <c r="M9" s="136">
        <f>Beta!I11</f>
        <v>0.46579999999999999</v>
      </c>
      <c r="N9" s="136">
        <f t="shared" ref="N9:N16" si="2">M9/(J9*(1-L9)+1)</f>
        <v>0.46220038538056701</v>
      </c>
    </row>
    <row r="10" spans="1:14" x14ac:dyDescent="0.3">
      <c r="D10" t="str">
        <f>'Comp Data'!C5</f>
        <v>Bikaji Foods</v>
      </c>
      <c r="H10" s="82">
        <f>Comps!J10</f>
        <v>16879.630999999998</v>
      </c>
      <c r="I10" s="82">
        <f>Comps!K10</f>
        <v>309.73</v>
      </c>
      <c r="J10" s="68">
        <f t="shared" si="0"/>
        <v>1.8349334769225706E-2</v>
      </c>
      <c r="K10" s="68">
        <f t="shared" si="1"/>
        <v>1.8018703545757173E-2</v>
      </c>
      <c r="L10" s="46">
        <v>0.25</v>
      </c>
      <c r="M10" s="47">
        <f>'Comp Data'!S5</f>
        <v>1.1220000000000001</v>
      </c>
      <c r="N10" s="47">
        <f t="shared" si="2"/>
        <v>1.1067686486651696</v>
      </c>
    </row>
    <row r="11" spans="1:14" x14ac:dyDescent="0.3">
      <c r="D11" t="str">
        <f>'Comp Data'!C6</f>
        <v>Zydus Wellness</v>
      </c>
      <c r="H11" s="82">
        <f>Comps!J11</f>
        <v>16450.939999999999</v>
      </c>
      <c r="I11" s="82">
        <f>Comps!K11</f>
        <v>3042</v>
      </c>
      <c r="J11" s="68">
        <f t="shared" si="0"/>
        <v>0.18491344567544471</v>
      </c>
      <c r="K11" s="68">
        <f t="shared" si="1"/>
        <v>0.15605650045606256</v>
      </c>
      <c r="L11" s="46">
        <v>0.25</v>
      </c>
      <c r="M11" s="47">
        <f>'Comp Data'!S6</f>
        <v>0.70599999999999996</v>
      </c>
      <c r="N11" s="47">
        <f t="shared" si="2"/>
        <v>0.62001339067414596</v>
      </c>
    </row>
    <row r="12" spans="1:14" x14ac:dyDescent="0.3">
      <c r="D12" t="str">
        <f>'Comp Data'!C7</f>
        <v>Gopal Snacks</v>
      </c>
      <c r="H12" s="82">
        <f>Comps!J12</f>
        <v>4149.8030000000008</v>
      </c>
      <c r="I12" s="82">
        <f>Comps!K12</f>
        <v>64.92</v>
      </c>
      <c r="J12" s="68">
        <f t="shared" si="0"/>
        <v>1.5644116118283202E-2</v>
      </c>
      <c r="K12" s="68">
        <f t="shared" si="1"/>
        <v>1.5403147490357014E-2</v>
      </c>
      <c r="L12" s="46">
        <v>0.25</v>
      </c>
      <c r="M12" s="47">
        <f>'Comp Data'!S7</f>
        <v>0.76</v>
      </c>
      <c r="N12" s="47">
        <f t="shared" si="2"/>
        <v>0.75118626611977202</v>
      </c>
    </row>
    <row r="13" spans="1:14" x14ac:dyDescent="0.3">
      <c r="D13" t="str">
        <f>'Comp Data'!C8</f>
        <v>Hind. Unilever</v>
      </c>
      <c r="H13" s="82">
        <f>Comps!J13</f>
        <v>537165.55200000003</v>
      </c>
      <c r="I13" s="82">
        <f>Comps!K13</f>
        <v>1478</v>
      </c>
      <c r="J13" s="68">
        <f t="shared" si="0"/>
        <v>2.751479491745219E-3</v>
      </c>
      <c r="K13" s="68">
        <f t="shared" si="1"/>
        <v>2.7439296256534414E-3</v>
      </c>
      <c r="L13" s="46">
        <v>0.25</v>
      </c>
      <c r="M13" s="47">
        <f>'Comp Data'!S8</f>
        <v>0.51400000000000001</v>
      </c>
      <c r="N13" s="47">
        <f t="shared" si="2"/>
        <v>0.51294148900939407</v>
      </c>
    </row>
    <row r="14" spans="1:14" x14ac:dyDescent="0.3">
      <c r="D14" t="str">
        <f>'Comp Data'!C9</f>
        <v>ITC</v>
      </c>
      <c r="H14" s="82">
        <f>Comps!J14</f>
        <v>385282.125</v>
      </c>
      <c r="I14" s="82">
        <f>Comps!K14</f>
        <v>362.97</v>
      </c>
      <c r="J14" s="68">
        <f t="shared" si="0"/>
        <v>9.420888653996082E-4</v>
      </c>
      <c r="K14" s="68">
        <f t="shared" si="1"/>
        <v>9.4120216931580587E-4</v>
      </c>
      <c r="L14" s="46">
        <v>0.25</v>
      </c>
      <c r="M14" s="47">
        <f>'Comp Data'!S9</f>
        <v>0.57199999999999995</v>
      </c>
      <c r="N14" s="47">
        <f t="shared" si="2"/>
        <v>0.57159612923835423</v>
      </c>
    </row>
    <row r="15" spans="1:14" x14ac:dyDescent="0.3">
      <c r="D15" t="str">
        <f>'Comp Data'!C10</f>
        <v>Marico</v>
      </c>
      <c r="H15" s="82">
        <f>Comps!J15</f>
        <v>107872.11</v>
      </c>
      <c r="I15" s="82">
        <f>Comps!K15</f>
        <v>557</v>
      </c>
      <c r="J15" s="68">
        <f t="shared" si="0"/>
        <v>5.1635218778978177E-3</v>
      </c>
      <c r="K15" s="68">
        <f t="shared" si="1"/>
        <v>5.1369968821103488E-3</v>
      </c>
      <c r="L15" s="46">
        <v>0.25</v>
      </c>
      <c r="M15" s="47">
        <f>'Comp Data'!S10</f>
        <v>0.45800000000000002</v>
      </c>
      <c r="N15" s="47">
        <f t="shared" si="2"/>
        <v>0.45623317252418649</v>
      </c>
    </row>
    <row r="16" spans="1:14" x14ac:dyDescent="0.3">
      <c r="D16" t="str">
        <f>'Comp Data'!C11</f>
        <v>Patanjali Foods</v>
      </c>
      <c r="H16" s="82">
        <f>Comps!J16</f>
        <v>49998.195</v>
      </c>
      <c r="I16" s="82">
        <f>Comps!K16</f>
        <v>2895.22</v>
      </c>
      <c r="J16" s="68">
        <f t="shared" si="0"/>
        <v>5.7906490424304312E-2</v>
      </c>
      <c r="K16" s="68">
        <f t="shared" si="1"/>
        <v>5.4736870364675824E-2</v>
      </c>
      <c r="L16" s="46">
        <v>0.25</v>
      </c>
      <c r="M16" s="47">
        <f>'Comp Data'!S11</f>
        <v>1.1399999999999999</v>
      </c>
      <c r="N16" s="47">
        <f t="shared" si="2"/>
        <v>1.0925506688664146</v>
      </c>
    </row>
    <row r="17" spans="1:14" x14ac:dyDescent="0.3">
      <c r="N17" s="47"/>
    </row>
    <row r="18" spans="1:14" x14ac:dyDescent="0.3">
      <c r="D18" s="117" t="s">
        <v>322</v>
      </c>
      <c r="E18" s="117"/>
      <c r="F18" s="117"/>
      <c r="G18" s="117"/>
      <c r="H18" s="118">
        <f>AVERAGE(_xlfn.ANCHORARRAY(H8))</f>
        <v>286236.85200000001</v>
      </c>
      <c r="I18" s="118">
        <f>AVERAGE(I8:I15)</f>
        <v>954.88250000000005</v>
      </c>
      <c r="J18" s="119">
        <f>AVERAGE(J8:J15)</f>
        <v>2.9962462876149919E-2</v>
      </c>
      <c r="K18" s="119">
        <f>AVERAGE(K8:K15)</f>
        <v>2.6265884137996784E-2</v>
      </c>
      <c r="L18" s="120">
        <f>AVERAGE(L8:L16)</f>
        <v>0.25</v>
      </c>
      <c r="M18" s="121">
        <v>0.65224175009397301</v>
      </c>
      <c r="N18" s="121">
        <v>0.54925621060545082</v>
      </c>
    </row>
    <row r="19" spans="1:14" x14ac:dyDescent="0.3">
      <c r="D19" s="117" t="s">
        <v>323</v>
      </c>
      <c r="E19" s="117"/>
      <c r="F19" s="117"/>
      <c r="G19" s="117"/>
      <c r="H19" s="118">
        <f>MEDIAN(_xlfn.ANCHORARRAY(H8))</f>
        <v>286236.85200000001</v>
      </c>
      <c r="I19" s="118">
        <f>MEDIAN(I8:I15)</f>
        <v>500.58000000000004</v>
      </c>
      <c r="J19" s="119">
        <f>MEDIAN(J8:J15)</f>
        <v>7.7737580802885765E-3</v>
      </c>
      <c r="K19" s="119">
        <f>MEDIAN(K8:K15)</f>
        <v>7.7071359993685553E-3</v>
      </c>
      <c r="L19" s="120">
        <f>MEDIAN(L8:L15)</f>
        <v>0.25</v>
      </c>
      <c r="M19" s="121">
        <v>0.57148874166166097</v>
      </c>
      <c r="N19" s="121">
        <v>0.48125367718876699</v>
      </c>
    </row>
    <row r="21" spans="1:14" x14ac:dyDescent="0.3">
      <c r="D21" s="46" t="str">
        <f>A1</f>
        <v>Britannia Industries Ltd.</v>
      </c>
      <c r="H21" s="82">
        <f>H9</f>
        <v>132923.802</v>
      </c>
      <c r="I21" s="82">
        <f t="shared" ref="I21:L21" si="3">I9</f>
        <v>1380.28</v>
      </c>
      <c r="J21" s="41">
        <f t="shared" si="3"/>
        <v>1.0383994282679335E-2</v>
      </c>
      <c r="K21" s="41">
        <f t="shared" si="3"/>
        <v>1.0277275116626761E-2</v>
      </c>
      <c r="L21" s="41">
        <f t="shared" si="3"/>
        <v>0.25</v>
      </c>
      <c r="M21" s="47"/>
      <c r="N21" s="47"/>
    </row>
    <row r="23" spans="1:14" x14ac:dyDescent="0.3">
      <c r="A23" s="21" t="s">
        <v>385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5" spans="1:14" x14ac:dyDescent="0.3">
      <c r="C25" s="122" t="s">
        <v>386</v>
      </c>
      <c r="D25" s="117"/>
      <c r="E25" s="117"/>
      <c r="F25" s="117"/>
      <c r="G25" s="117"/>
      <c r="H25" s="117"/>
    </row>
    <row r="27" spans="1:14" x14ac:dyDescent="0.3">
      <c r="D27" s="114" t="s">
        <v>387</v>
      </c>
      <c r="E27" s="23"/>
      <c r="F27" s="23"/>
      <c r="G27" s="23"/>
      <c r="H27" s="115">
        <f>K19</f>
        <v>7.7071359993685553E-3</v>
      </c>
    </row>
    <row r="28" spans="1:14" x14ac:dyDescent="0.3">
      <c r="D28" s="1" t="s">
        <v>388</v>
      </c>
      <c r="H28" s="68">
        <f>1-H27</f>
        <v>0.99229286400063144</v>
      </c>
    </row>
    <row r="30" spans="1:14" x14ac:dyDescent="0.3">
      <c r="C30" s="122" t="s">
        <v>389</v>
      </c>
      <c r="D30" s="117"/>
      <c r="E30" s="117"/>
      <c r="F30" s="117"/>
      <c r="G30" s="117"/>
      <c r="H30" s="117"/>
    </row>
    <row r="31" spans="1:14" x14ac:dyDescent="0.3">
      <c r="D31" t="s">
        <v>313</v>
      </c>
      <c r="H31" s="82">
        <f>H21</f>
        <v>132923.802</v>
      </c>
    </row>
    <row r="32" spans="1:14" x14ac:dyDescent="0.3">
      <c r="D32" t="s">
        <v>390</v>
      </c>
      <c r="H32" s="82">
        <f>I21</f>
        <v>1380.28</v>
      </c>
    </row>
    <row r="33" spans="3:8" x14ac:dyDescent="0.3">
      <c r="D33" t="s">
        <v>391</v>
      </c>
      <c r="H33" s="68">
        <f>J21</f>
        <v>1.0383994282679335E-2</v>
      </c>
    </row>
    <row r="35" spans="3:8" x14ac:dyDescent="0.3">
      <c r="C35" s="122" t="s">
        <v>392</v>
      </c>
      <c r="D35" s="117"/>
      <c r="E35" s="117"/>
      <c r="F35" s="117"/>
      <c r="G35" s="117"/>
      <c r="H35" s="117"/>
    </row>
    <row r="36" spans="3:8" x14ac:dyDescent="0.3">
      <c r="D36" t="s">
        <v>393</v>
      </c>
      <c r="H36" s="68">
        <f>Model!N12</f>
        <v>6.649261517406517E-2</v>
      </c>
    </row>
    <row r="37" spans="3:8" x14ac:dyDescent="0.3">
      <c r="D37" t="s">
        <v>340</v>
      </c>
      <c r="H37" s="68">
        <f>Model!N14</f>
        <v>0.25637878170900535</v>
      </c>
    </row>
    <row r="38" spans="3:8" x14ac:dyDescent="0.3">
      <c r="D38" t="s">
        <v>394</v>
      </c>
      <c r="H38" s="68">
        <f>H36*(1-H37)</f>
        <v>4.9445319503092625E-2</v>
      </c>
    </row>
    <row r="40" spans="3:8" x14ac:dyDescent="0.3">
      <c r="C40" s="122" t="s">
        <v>395</v>
      </c>
      <c r="D40" s="117"/>
      <c r="E40" s="117"/>
      <c r="F40" s="117"/>
      <c r="G40" s="117"/>
      <c r="H40" s="117"/>
    </row>
    <row r="41" spans="3:8" x14ac:dyDescent="0.3">
      <c r="D41" t="s">
        <v>396</v>
      </c>
      <c r="H41" s="68">
        <v>7.0300000000000001E-2</v>
      </c>
    </row>
    <row r="42" spans="3:8" x14ac:dyDescent="0.3">
      <c r="D42" t="s">
        <v>295</v>
      </c>
      <c r="H42" s="68">
        <f>'Market Data'!H9</f>
        <v>0.11358054764001646</v>
      </c>
    </row>
    <row r="43" spans="3:8" x14ac:dyDescent="0.3">
      <c r="D43" t="s">
        <v>397</v>
      </c>
      <c r="H43" s="68">
        <f>H42-H41</f>
        <v>4.3280547640016459E-2</v>
      </c>
    </row>
    <row r="44" spans="3:8" x14ac:dyDescent="0.3">
      <c r="D44" t="s">
        <v>398</v>
      </c>
      <c r="H44" s="47">
        <f>N19*(1+H33*(1-H37))</f>
        <v>0.4849698018512516</v>
      </c>
    </row>
    <row r="45" spans="3:8" x14ac:dyDescent="0.3">
      <c r="D45" s="24" t="s">
        <v>395</v>
      </c>
      <c r="E45" s="23"/>
      <c r="F45" s="23"/>
      <c r="G45" s="23"/>
      <c r="H45" s="115">
        <f>H41+H43*H44</f>
        <v>9.1289758612992433E-2</v>
      </c>
    </row>
    <row r="47" spans="3:8" ht="15" thickBot="1" x14ac:dyDescent="0.35">
      <c r="D47" s="25" t="s">
        <v>399</v>
      </c>
      <c r="E47" s="25"/>
      <c r="F47" s="25"/>
      <c r="G47" s="25"/>
      <c r="H47" s="116">
        <f>(H45*H28)+(H38*H27)</f>
        <v>9.0967257829955128E-2</v>
      </c>
    </row>
    <row r="48" spans="3:8" ht="15" thickTop="1" x14ac:dyDescent="0.3"/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3C4F-1086-49FB-B96D-BDEDDF0762E0}">
  <dimension ref="A1:R263"/>
  <sheetViews>
    <sheetView showGridLines="0" zoomScale="80" zoomScaleNormal="80" workbookViewId="0">
      <selection activeCell="N18" sqref="N18"/>
    </sheetView>
  </sheetViews>
  <sheetFormatPr defaultRowHeight="14.4" x14ac:dyDescent="0.3"/>
  <cols>
    <col min="1" max="4" width="14.44140625" customWidth="1"/>
    <col min="9" max="9" width="9.5546875" bestFit="1" customWidth="1"/>
  </cols>
  <sheetData>
    <row r="1" spans="1:13" ht="32.4" x14ac:dyDescent="0.6">
      <c r="A1" s="42" t="s">
        <v>155</v>
      </c>
      <c r="B1" s="43"/>
      <c r="C1" s="43"/>
      <c r="D1" s="16"/>
      <c r="E1" s="16"/>
    </row>
    <row r="2" spans="1:13" ht="23.4" x14ac:dyDescent="0.45">
      <c r="A2" s="44" t="s">
        <v>306</v>
      </c>
      <c r="B2" s="45"/>
      <c r="C2" s="43"/>
      <c r="D2" s="16"/>
      <c r="E2" s="16"/>
    </row>
    <row r="3" spans="1:13" x14ac:dyDescent="0.3">
      <c r="A3" s="77" t="s">
        <v>301</v>
      </c>
      <c r="B3" s="77" t="s">
        <v>297</v>
      </c>
      <c r="C3" s="77" t="s">
        <v>298</v>
      </c>
      <c r="D3" s="77" t="s">
        <v>299</v>
      </c>
      <c r="E3" s="77" t="s">
        <v>300</v>
      </c>
    </row>
    <row r="4" spans="1:13" x14ac:dyDescent="0.3">
      <c r="A4" s="78">
        <v>44333</v>
      </c>
      <c r="B4">
        <v>3223.52392578125</v>
      </c>
      <c r="C4">
        <v>15175.2998046875</v>
      </c>
      <c r="D4" s="46">
        <v>-1.8763694130196851E-2</v>
      </c>
      <c r="E4" s="46">
        <v>3.3894725818587552E-2</v>
      </c>
    </row>
    <row r="5" spans="1:13" x14ac:dyDescent="0.3">
      <c r="A5" s="78">
        <v>44340</v>
      </c>
      <c r="B5">
        <v>3211.983642578125</v>
      </c>
      <c r="C5">
        <v>15435.650390625</v>
      </c>
      <c r="D5" s="46">
        <v>-3.5800209549641249E-3</v>
      </c>
      <c r="E5" s="46">
        <v>1.7156207079156442E-2</v>
      </c>
    </row>
    <row r="6" spans="1:13" x14ac:dyDescent="0.3">
      <c r="A6" s="78">
        <v>44347</v>
      </c>
      <c r="B6">
        <v>3285.92138671875</v>
      </c>
      <c r="C6">
        <v>15670.25</v>
      </c>
      <c r="D6" s="46">
        <v>2.3019340186078319E-2</v>
      </c>
      <c r="E6" s="46">
        <v>1.5198556810893221E-2</v>
      </c>
    </row>
    <row r="7" spans="1:13" x14ac:dyDescent="0.3">
      <c r="A7" s="78">
        <v>44354</v>
      </c>
      <c r="B7">
        <v>3350.522705078125</v>
      </c>
      <c r="C7">
        <v>15799.349609375</v>
      </c>
      <c r="D7" s="46">
        <v>1.9660031618676129E-2</v>
      </c>
      <c r="E7" s="46">
        <v>8.2385162569200698E-3</v>
      </c>
    </row>
    <row r="8" spans="1:13" x14ac:dyDescent="0.3">
      <c r="A8" s="78">
        <v>44361</v>
      </c>
      <c r="B8">
        <v>3408.25</v>
      </c>
      <c r="C8">
        <v>15683.349609375</v>
      </c>
      <c r="D8" s="46">
        <v>1.7229340017419489E-2</v>
      </c>
      <c r="E8" s="46">
        <v>-7.3420743807813826E-3</v>
      </c>
    </row>
    <row r="9" spans="1:13" x14ac:dyDescent="0.3">
      <c r="A9" s="78">
        <v>44368</v>
      </c>
      <c r="B9">
        <v>3456.13623046875</v>
      </c>
      <c r="C9">
        <v>15860.349609375</v>
      </c>
      <c r="D9" s="46">
        <v>1.405009329384588E-2</v>
      </c>
      <c r="E9" s="46">
        <v>1.128585438752161E-2</v>
      </c>
    </row>
    <row r="10" spans="1:13" x14ac:dyDescent="0.3">
      <c r="A10" s="78">
        <v>44375</v>
      </c>
      <c r="B10">
        <v>3338.6572265625</v>
      </c>
      <c r="C10">
        <v>15722.2001953125</v>
      </c>
      <c r="D10" s="46">
        <v>-3.3991427441596112E-2</v>
      </c>
      <c r="E10" s="46">
        <v>-8.7103637350365304E-3</v>
      </c>
    </row>
    <row r="11" spans="1:13" x14ac:dyDescent="0.3">
      <c r="A11" s="78">
        <v>44382</v>
      </c>
      <c r="B11">
        <v>3273.349609375</v>
      </c>
      <c r="C11">
        <v>15689.7998046875</v>
      </c>
      <c r="D11" s="46">
        <v>-1.956104288511851E-2</v>
      </c>
      <c r="E11" s="46">
        <v>-2.060805117763409E-3</v>
      </c>
      <c r="H11" s="131" t="s">
        <v>305</v>
      </c>
      <c r="I11" s="132">
        <f>M31</f>
        <v>0.46579999999999999</v>
      </c>
    </row>
    <row r="12" spans="1:13" x14ac:dyDescent="0.3">
      <c r="A12" s="78">
        <v>44389</v>
      </c>
      <c r="B12">
        <v>3240.4365234375</v>
      </c>
      <c r="C12">
        <v>15923.400390625</v>
      </c>
      <c r="D12" s="46">
        <v>-1.005486424158164E-2</v>
      </c>
      <c r="E12" s="46">
        <v>1.488869130552639E-2</v>
      </c>
      <c r="H12" s="131" t="s">
        <v>402</v>
      </c>
      <c r="I12" s="132">
        <f>M17</f>
        <v>0.10299999999999999</v>
      </c>
    </row>
    <row r="13" spans="1:13" x14ac:dyDescent="0.3">
      <c r="A13" s="78">
        <v>44396</v>
      </c>
      <c r="B13">
        <v>3239.306640625</v>
      </c>
      <c r="C13">
        <v>15856.0498046875</v>
      </c>
      <c r="D13" s="46">
        <v>-3.4868228534268297E-4</v>
      </c>
      <c r="E13" s="46">
        <v>-4.229661019963582E-3</v>
      </c>
      <c r="L13" t="s">
        <v>425</v>
      </c>
    </row>
    <row r="14" spans="1:13" x14ac:dyDescent="0.3">
      <c r="A14" s="78">
        <v>44403</v>
      </c>
      <c r="B14">
        <v>3223.8623046875</v>
      </c>
      <c r="C14">
        <v>15763.0498046875</v>
      </c>
      <c r="D14" s="46">
        <v>-4.767790657361215E-3</v>
      </c>
      <c r="E14" s="46">
        <v>-5.865269165117426E-3</v>
      </c>
    </row>
    <row r="15" spans="1:13" x14ac:dyDescent="0.3">
      <c r="A15" s="78">
        <v>44410</v>
      </c>
      <c r="B15">
        <v>3393.93603515625</v>
      </c>
      <c r="C15">
        <v>16238.2001953125</v>
      </c>
      <c r="D15" s="46">
        <v>5.2754650910946888E-2</v>
      </c>
      <c r="E15" s="46">
        <v>3.0143303263794999E-2</v>
      </c>
      <c r="L15" t="s">
        <v>404</v>
      </c>
    </row>
    <row r="16" spans="1:13" x14ac:dyDescent="0.3">
      <c r="A16" s="78">
        <v>44417</v>
      </c>
      <c r="B16">
        <v>3370.9111328125</v>
      </c>
      <c r="C16">
        <v>16529.099609375</v>
      </c>
      <c r="D16" s="46">
        <v>-6.7841297258538491E-3</v>
      </c>
      <c r="E16" s="46">
        <v>1.7914510879504689E-2</v>
      </c>
      <c r="L16" t="s">
        <v>405</v>
      </c>
      <c r="M16">
        <v>0.32100000000000001</v>
      </c>
    </row>
    <row r="17" spans="1:18" x14ac:dyDescent="0.3">
      <c r="A17" s="78">
        <v>44424</v>
      </c>
      <c r="B17">
        <v>3668.868896484375</v>
      </c>
      <c r="C17">
        <v>16450.5</v>
      </c>
      <c r="D17" s="46">
        <v>8.8390868798512656E-2</v>
      </c>
      <c r="E17" s="46">
        <v>-4.7552263119292606E-3</v>
      </c>
      <c r="L17" t="s">
        <v>406</v>
      </c>
      <c r="M17">
        <v>0.10299999999999999</v>
      </c>
    </row>
    <row r="18" spans="1:18" x14ac:dyDescent="0.3">
      <c r="A18" s="78">
        <v>44431</v>
      </c>
      <c r="B18">
        <v>3711.811279296875</v>
      </c>
      <c r="C18">
        <v>16705.19921875</v>
      </c>
      <c r="D18" s="46">
        <v>1.1704529113495621E-2</v>
      </c>
      <c r="E18" s="46">
        <v>1.548276458162356E-2</v>
      </c>
      <c r="L18" t="s">
        <v>407</v>
      </c>
      <c r="M18">
        <v>0.1</v>
      </c>
    </row>
    <row r="19" spans="1:18" x14ac:dyDescent="0.3">
      <c r="A19" s="78">
        <v>44438</v>
      </c>
      <c r="B19">
        <v>3883.815673828125</v>
      </c>
      <c r="C19">
        <v>17323.599609375</v>
      </c>
      <c r="D19" s="46">
        <v>4.6339746713586427E-2</v>
      </c>
      <c r="E19" s="46">
        <v>3.7018438542828269E-2</v>
      </c>
      <c r="L19" t="s">
        <v>408</v>
      </c>
      <c r="M19">
        <v>2.4299999999999999E-2</v>
      </c>
    </row>
    <row r="20" spans="1:18" x14ac:dyDescent="0.3">
      <c r="A20" s="78">
        <v>44445</v>
      </c>
      <c r="B20">
        <v>3833.52783203125</v>
      </c>
      <c r="C20">
        <v>17369.25</v>
      </c>
      <c r="D20" s="46">
        <v>-1.2948050582253351E-2</v>
      </c>
      <c r="E20" s="46">
        <v>2.6351561831465808E-3</v>
      </c>
      <c r="L20" t="s">
        <v>409</v>
      </c>
      <c r="M20">
        <v>279</v>
      </c>
    </row>
    <row r="21" spans="1:18" x14ac:dyDescent="0.3">
      <c r="A21" s="78">
        <v>44452</v>
      </c>
      <c r="B21">
        <v>3815.682373046875</v>
      </c>
      <c r="C21">
        <v>17585.150390625</v>
      </c>
      <c r="D21" s="46">
        <v>-4.6551009321664782E-3</v>
      </c>
      <c r="E21" s="46">
        <v>1.243003529945153E-2</v>
      </c>
    </row>
    <row r="22" spans="1:18" x14ac:dyDescent="0.3">
      <c r="A22" s="78">
        <v>44459</v>
      </c>
      <c r="B22">
        <v>3807.253662109375</v>
      </c>
      <c r="C22">
        <v>17853.19921875</v>
      </c>
      <c r="D22" s="46">
        <v>-2.208965556734666E-3</v>
      </c>
      <c r="E22" s="46">
        <v>1.5242907917802251E-2</v>
      </c>
      <c r="L22" t="s">
        <v>410</v>
      </c>
    </row>
    <row r="23" spans="1:18" x14ac:dyDescent="0.3">
      <c r="A23" s="78">
        <v>44466</v>
      </c>
      <c r="B23">
        <v>3692.55322265625</v>
      </c>
      <c r="C23">
        <v>17532.05078125</v>
      </c>
      <c r="D23" s="46">
        <v>-3.0126818340119769E-2</v>
      </c>
      <c r="E23" s="46">
        <v>-1.7988285100337679E-2</v>
      </c>
      <c r="M23" t="s">
        <v>411</v>
      </c>
      <c r="N23" t="s">
        <v>412</v>
      </c>
      <c r="O23" t="s">
        <v>413</v>
      </c>
      <c r="P23" t="s">
        <v>414</v>
      </c>
      <c r="Q23" t="s">
        <v>415</v>
      </c>
    </row>
    <row r="24" spans="1:18" x14ac:dyDescent="0.3">
      <c r="A24" s="78">
        <v>44473</v>
      </c>
      <c r="B24">
        <v>3656.95654296875</v>
      </c>
      <c r="C24">
        <v>17895.19921875</v>
      </c>
      <c r="D24" s="46">
        <v>-9.6401263681430427E-3</v>
      </c>
      <c r="E24" s="46">
        <v>2.0713403242498929E-2</v>
      </c>
      <c r="L24" t="s">
        <v>416</v>
      </c>
      <c r="M24">
        <v>1</v>
      </c>
      <c r="N24">
        <v>1.8800000000000001E-2</v>
      </c>
      <c r="O24">
        <v>1.8800000000000001E-2</v>
      </c>
      <c r="P24">
        <v>31.91</v>
      </c>
      <c r="Q24" s="137">
        <v>4.0100000000000002E-8</v>
      </c>
    </row>
    <row r="25" spans="1:18" x14ac:dyDescent="0.3">
      <c r="A25" s="78">
        <v>44480</v>
      </c>
      <c r="B25">
        <v>3667.83349609375</v>
      </c>
      <c r="C25">
        <v>18338.55078125</v>
      </c>
      <c r="D25" s="46">
        <v>2.9743183976067571E-3</v>
      </c>
      <c r="E25" s="46">
        <v>2.4774888341867252E-2</v>
      </c>
      <c r="L25" t="s">
        <v>417</v>
      </c>
      <c r="M25">
        <v>277</v>
      </c>
      <c r="N25">
        <v>0.16320000000000001</v>
      </c>
      <c r="O25">
        <v>5.8900000000000001E-4</v>
      </c>
    </row>
    <row r="26" spans="1:18" x14ac:dyDescent="0.3">
      <c r="A26" s="78">
        <v>44487</v>
      </c>
      <c r="B26">
        <v>3474.923095703125</v>
      </c>
      <c r="C26">
        <v>18114.900390625</v>
      </c>
      <c r="D26" s="46">
        <v>-5.2595190211353622E-2</v>
      </c>
      <c r="E26" s="46">
        <v>-1.219564148185948E-2</v>
      </c>
      <c r="L26" t="s">
        <v>255</v>
      </c>
      <c r="M26">
        <v>278</v>
      </c>
      <c r="N26">
        <v>0.182</v>
      </c>
    </row>
    <row r="27" spans="1:18" x14ac:dyDescent="0.3">
      <c r="A27" s="78">
        <v>44494</v>
      </c>
      <c r="B27">
        <v>3461.50390625</v>
      </c>
      <c r="C27">
        <v>17671.650390625</v>
      </c>
      <c r="D27" s="46">
        <v>-3.8617227154518212E-3</v>
      </c>
      <c r="E27" s="46">
        <v>-2.4468806918165331E-2</v>
      </c>
    </row>
    <row r="28" spans="1:18" x14ac:dyDescent="0.3">
      <c r="A28" s="78">
        <v>44501</v>
      </c>
      <c r="B28">
        <v>3418.279296875</v>
      </c>
      <c r="C28">
        <v>17916.80078125</v>
      </c>
      <c r="D28" s="46">
        <v>-1.248723403054808E-2</v>
      </c>
      <c r="E28" s="46">
        <v>1.387252379976101E-2</v>
      </c>
    </row>
    <row r="29" spans="1:18" x14ac:dyDescent="0.3">
      <c r="A29" s="78">
        <v>44508</v>
      </c>
      <c r="B29">
        <v>3472.99267578125</v>
      </c>
      <c r="C29">
        <v>18102.75</v>
      </c>
      <c r="D29" s="46">
        <v>1.6006117158498201E-2</v>
      </c>
      <c r="E29" s="46">
        <v>1.037848335873659E-2</v>
      </c>
      <c r="M29" t="s">
        <v>418</v>
      </c>
      <c r="N29" t="s">
        <v>408</v>
      </c>
      <c r="O29" t="s">
        <v>419</v>
      </c>
      <c r="P29" t="s">
        <v>420</v>
      </c>
      <c r="Q29" t="s">
        <v>421</v>
      </c>
      <c r="R29" t="s">
        <v>422</v>
      </c>
    </row>
    <row r="30" spans="1:18" x14ac:dyDescent="0.3">
      <c r="A30" s="78">
        <v>44515</v>
      </c>
      <c r="B30">
        <v>3363.424560546875</v>
      </c>
      <c r="C30">
        <v>17764.80078125</v>
      </c>
      <c r="D30" s="46">
        <v>-3.154861684519028E-2</v>
      </c>
      <c r="E30" s="46">
        <v>-1.8668391197469991E-2</v>
      </c>
      <c r="L30" t="s">
        <v>423</v>
      </c>
      <c r="M30">
        <v>1.1999999999999999E-3</v>
      </c>
      <c r="N30">
        <v>2E-3</v>
      </c>
      <c r="O30">
        <v>0.78</v>
      </c>
      <c r="P30">
        <v>0.436</v>
      </c>
      <c r="Q30">
        <v>-2E-3</v>
      </c>
      <c r="R30">
        <v>4.0000000000000001E-3</v>
      </c>
    </row>
    <row r="31" spans="1:18" x14ac:dyDescent="0.3">
      <c r="A31" s="78">
        <v>44522</v>
      </c>
      <c r="B31">
        <v>3348.07421875</v>
      </c>
      <c r="C31">
        <v>17026.44921875</v>
      </c>
      <c r="D31" s="46">
        <v>-4.5639025108322739E-3</v>
      </c>
      <c r="E31" s="46">
        <v>-4.1562614272561922E-2</v>
      </c>
      <c r="L31" t="s">
        <v>424</v>
      </c>
      <c r="M31" s="4">
        <v>0.46579999999999999</v>
      </c>
      <c r="N31">
        <v>8.2000000000000003E-2</v>
      </c>
      <c r="O31">
        <v>5.649</v>
      </c>
      <c r="P31" s="4">
        <v>0</v>
      </c>
      <c r="Q31">
        <v>0.30299999999999999</v>
      </c>
      <c r="R31">
        <v>0.628</v>
      </c>
    </row>
    <row r="32" spans="1:18" x14ac:dyDescent="0.3">
      <c r="A32" s="78">
        <v>44529</v>
      </c>
      <c r="B32">
        <v>3346.614990234375</v>
      </c>
      <c r="C32">
        <v>17196.69921875</v>
      </c>
      <c r="D32" s="46">
        <v>-4.3584114935479867E-4</v>
      </c>
      <c r="E32" s="46">
        <v>9.9991488426438568E-3</v>
      </c>
    </row>
    <row r="33" spans="1:5" x14ac:dyDescent="0.3">
      <c r="A33" s="78">
        <v>44536</v>
      </c>
      <c r="B33">
        <v>3420.727783203125</v>
      </c>
      <c r="C33">
        <v>17511.30078125</v>
      </c>
      <c r="D33" s="46">
        <v>2.2145598817018271E-2</v>
      </c>
      <c r="E33" s="46">
        <v>1.829429930116944E-2</v>
      </c>
    </row>
    <row r="34" spans="1:5" x14ac:dyDescent="0.3">
      <c r="A34" s="78">
        <v>44543</v>
      </c>
      <c r="B34">
        <v>3330.040283203125</v>
      </c>
      <c r="C34">
        <v>16985.19921875</v>
      </c>
      <c r="D34" s="46">
        <v>-2.6511171232421641E-2</v>
      </c>
      <c r="E34" s="46">
        <v>-3.0043545540792471E-2</v>
      </c>
    </row>
    <row r="35" spans="1:5" x14ac:dyDescent="0.3">
      <c r="A35" s="78">
        <v>44550</v>
      </c>
      <c r="B35">
        <v>3334.890380859375</v>
      </c>
      <c r="C35">
        <v>17003.75</v>
      </c>
      <c r="D35" s="46">
        <v>1.456468163677727E-3</v>
      </c>
      <c r="E35" s="46">
        <v>1.092173309896971E-3</v>
      </c>
    </row>
    <row r="36" spans="1:5" x14ac:dyDescent="0.3">
      <c r="A36" s="78">
        <v>44557</v>
      </c>
      <c r="B36">
        <v>3395.819580078125</v>
      </c>
      <c r="C36">
        <v>17354.05078125</v>
      </c>
      <c r="D36" s="46">
        <v>1.827022548280843E-2</v>
      </c>
      <c r="E36" s="46">
        <v>2.0601383885907602E-2</v>
      </c>
    </row>
    <row r="37" spans="1:5" x14ac:dyDescent="0.3">
      <c r="A37" s="78">
        <v>44564</v>
      </c>
      <c r="B37">
        <v>3519.513671875</v>
      </c>
      <c r="C37">
        <v>17812.69921875</v>
      </c>
      <c r="D37" s="46">
        <v>3.6425401550346681E-2</v>
      </c>
      <c r="E37" s="46">
        <v>2.642889797208281E-2</v>
      </c>
    </row>
    <row r="38" spans="1:5" x14ac:dyDescent="0.3">
      <c r="A38" s="78">
        <v>44571</v>
      </c>
      <c r="B38">
        <v>3495.68798828125</v>
      </c>
      <c r="C38">
        <v>18255.75</v>
      </c>
      <c r="D38" s="46">
        <v>-6.7695954086340882E-3</v>
      </c>
      <c r="E38" s="46">
        <v>2.487274813373808E-2</v>
      </c>
    </row>
    <row r="39" spans="1:5" x14ac:dyDescent="0.3">
      <c r="A39" s="78">
        <v>44578</v>
      </c>
      <c r="B39">
        <v>3407.40234375</v>
      </c>
      <c r="C39">
        <v>17617.150390625</v>
      </c>
      <c r="D39" s="46">
        <v>-2.525558483114454E-2</v>
      </c>
      <c r="E39" s="46">
        <v>-3.4980738089369079E-2</v>
      </c>
    </row>
    <row r="40" spans="1:5" x14ac:dyDescent="0.3">
      <c r="A40" s="78">
        <v>44585</v>
      </c>
      <c r="B40">
        <v>3305.085205078125</v>
      </c>
      <c r="C40">
        <v>17101.94921875</v>
      </c>
      <c r="D40" s="46">
        <v>-3.0027900538235341E-2</v>
      </c>
      <c r="E40" s="46">
        <v>-2.9244296634327701E-2</v>
      </c>
    </row>
    <row r="41" spans="1:5" x14ac:dyDescent="0.3">
      <c r="A41" s="78">
        <v>44592</v>
      </c>
      <c r="B41">
        <v>3354.384033203125</v>
      </c>
      <c r="C41">
        <v>17516.30078125</v>
      </c>
      <c r="D41" s="46">
        <v>1.4916053616183421E-2</v>
      </c>
      <c r="E41" s="46">
        <v>2.4228323754213799E-2</v>
      </c>
    </row>
    <row r="42" spans="1:5" x14ac:dyDescent="0.3">
      <c r="A42" s="78">
        <v>44599</v>
      </c>
      <c r="B42">
        <v>3277.681396484375</v>
      </c>
      <c r="C42">
        <v>17374.75</v>
      </c>
      <c r="D42" s="46">
        <v>-2.2866384993344369E-2</v>
      </c>
      <c r="E42" s="46">
        <v>-8.0810887537122733E-3</v>
      </c>
    </row>
    <row r="43" spans="1:5" x14ac:dyDescent="0.3">
      <c r="A43" s="78">
        <v>44606</v>
      </c>
      <c r="B43">
        <v>3278.71728515625</v>
      </c>
      <c r="C43">
        <v>17276.30078125</v>
      </c>
      <c r="D43" s="46">
        <v>3.1604312517563571E-4</v>
      </c>
      <c r="E43" s="46">
        <v>-5.6662236147282394E-3</v>
      </c>
    </row>
    <row r="44" spans="1:5" x14ac:dyDescent="0.3">
      <c r="A44" s="78">
        <v>44613</v>
      </c>
      <c r="B44">
        <v>3223.250244140625</v>
      </c>
      <c r="C44">
        <v>16658.400390625</v>
      </c>
      <c r="D44" s="46">
        <v>-1.691729911168038E-2</v>
      </c>
      <c r="E44" s="46">
        <v>-3.5765781022729648E-2</v>
      </c>
    </row>
    <row r="45" spans="1:5" x14ac:dyDescent="0.3">
      <c r="A45" s="78">
        <v>44620</v>
      </c>
      <c r="B45">
        <v>3174.84619140625</v>
      </c>
      <c r="C45">
        <v>16245.349609375</v>
      </c>
      <c r="D45" s="46">
        <v>-1.501715630747757E-2</v>
      </c>
      <c r="E45" s="46">
        <v>-2.4795344784872438E-2</v>
      </c>
    </row>
    <row r="46" spans="1:5" x14ac:dyDescent="0.3">
      <c r="A46" s="78">
        <v>44627</v>
      </c>
      <c r="B46">
        <v>3013.389404296875</v>
      </c>
      <c r="C46">
        <v>16630.44921875</v>
      </c>
      <c r="D46" s="46">
        <v>-5.0854994974688927E-2</v>
      </c>
      <c r="E46" s="46">
        <v>2.3705221410117439E-2</v>
      </c>
    </row>
    <row r="47" spans="1:5" x14ac:dyDescent="0.3">
      <c r="A47" s="78">
        <v>44634</v>
      </c>
      <c r="B47">
        <v>3160.343994140625</v>
      </c>
      <c r="C47">
        <v>17287.05078125</v>
      </c>
      <c r="D47" s="46">
        <v>4.8767208656871119E-2</v>
      </c>
      <c r="E47" s="46">
        <v>3.9481889747134069E-2</v>
      </c>
    </row>
    <row r="48" spans="1:5" x14ac:dyDescent="0.3">
      <c r="A48" s="78">
        <v>44641</v>
      </c>
      <c r="B48">
        <v>2914.132568359375</v>
      </c>
      <c r="C48">
        <v>17153</v>
      </c>
      <c r="D48" s="46">
        <v>-7.7906527339344556E-2</v>
      </c>
      <c r="E48" s="46">
        <v>-7.7544043195265644E-3</v>
      </c>
    </row>
    <row r="49" spans="1:5" x14ac:dyDescent="0.3">
      <c r="A49" s="78">
        <v>44648</v>
      </c>
      <c r="B49">
        <v>3042.34716796875</v>
      </c>
      <c r="C49">
        <v>17670.44921875</v>
      </c>
      <c r="D49" s="46">
        <v>4.3997517821077858E-2</v>
      </c>
      <c r="E49" s="46">
        <v>3.0166689136011279E-2</v>
      </c>
    </row>
    <row r="50" spans="1:5" x14ac:dyDescent="0.3">
      <c r="A50" s="78">
        <v>44655</v>
      </c>
      <c r="B50">
        <v>3152.7626953125</v>
      </c>
      <c r="C50">
        <v>17784.349609375</v>
      </c>
      <c r="D50" s="46">
        <v>3.6292875614675417E-2</v>
      </c>
      <c r="E50" s="46">
        <v>6.4458118305301682E-3</v>
      </c>
    </row>
    <row r="51" spans="1:5" x14ac:dyDescent="0.3">
      <c r="A51" s="78">
        <v>44662</v>
      </c>
      <c r="B51">
        <v>3154.4111328125</v>
      </c>
      <c r="C51">
        <v>17475.650390625</v>
      </c>
      <c r="D51" s="46">
        <v>5.2285492417514234E-4</v>
      </c>
      <c r="E51" s="46">
        <v>-1.735791443209533E-2</v>
      </c>
    </row>
    <row r="52" spans="1:5" x14ac:dyDescent="0.3">
      <c r="A52" s="78">
        <v>44669</v>
      </c>
      <c r="B52">
        <v>3168.018798828125</v>
      </c>
      <c r="C52">
        <v>17171.94921875</v>
      </c>
      <c r="D52" s="46">
        <v>4.313853027614778E-3</v>
      </c>
      <c r="E52" s="46">
        <v>-1.7378533278390781E-2</v>
      </c>
    </row>
    <row r="53" spans="1:5" x14ac:dyDescent="0.3">
      <c r="A53" s="78">
        <v>44676</v>
      </c>
      <c r="B53">
        <v>3088.114501953125</v>
      </c>
      <c r="C53">
        <v>17102.55078125</v>
      </c>
      <c r="D53" s="46">
        <v>-2.5222166265098319E-2</v>
      </c>
      <c r="E53" s="46">
        <v>-4.0413838065759267E-3</v>
      </c>
    </row>
    <row r="54" spans="1:5" x14ac:dyDescent="0.3">
      <c r="A54" s="78">
        <v>44683</v>
      </c>
      <c r="B54">
        <v>3115.00048828125</v>
      </c>
      <c r="C54">
        <v>16411.25</v>
      </c>
      <c r="D54" s="46">
        <v>8.7062789644363203E-3</v>
      </c>
      <c r="E54" s="46">
        <v>-4.0420916744646762E-2</v>
      </c>
    </row>
    <row r="55" spans="1:5" x14ac:dyDescent="0.3">
      <c r="A55" s="78">
        <v>44690</v>
      </c>
      <c r="B55">
        <v>3087.407958984375</v>
      </c>
      <c r="C55">
        <v>15782.150390625</v>
      </c>
      <c r="D55" s="46">
        <v>-8.8579534419590544E-3</v>
      </c>
      <c r="E55" s="46">
        <v>-3.8333436476502447E-2</v>
      </c>
    </row>
    <row r="56" spans="1:5" x14ac:dyDescent="0.3">
      <c r="A56" s="78">
        <v>44697</v>
      </c>
      <c r="B56">
        <v>3249.147216796875</v>
      </c>
      <c r="C56">
        <v>16266.150390625</v>
      </c>
      <c r="D56" s="46">
        <v>5.2386746410314038E-2</v>
      </c>
      <c r="E56" s="46">
        <v>3.0667557209916652E-2</v>
      </c>
    </row>
    <row r="57" spans="1:5" x14ac:dyDescent="0.3">
      <c r="A57" s="78">
        <v>44704</v>
      </c>
      <c r="B57">
        <v>3350.24072265625</v>
      </c>
      <c r="C57">
        <v>16352.4501953125</v>
      </c>
      <c r="D57" s="46">
        <v>3.111385822617074E-2</v>
      </c>
      <c r="E57" s="46">
        <v>5.3054842488877707E-3</v>
      </c>
    </row>
    <row r="58" spans="1:5" x14ac:dyDescent="0.3">
      <c r="A58" s="78">
        <v>44711</v>
      </c>
      <c r="B58">
        <v>3324.2490234375</v>
      </c>
      <c r="C58">
        <v>16584.30078125</v>
      </c>
      <c r="D58" s="46">
        <v>-7.7581587027401033E-3</v>
      </c>
      <c r="E58" s="46">
        <v>1.4178339219401041E-2</v>
      </c>
    </row>
    <row r="59" spans="1:5" x14ac:dyDescent="0.3">
      <c r="A59" s="78">
        <v>44718</v>
      </c>
      <c r="B59">
        <v>3164.95849609375</v>
      </c>
      <c r="C59">
        <v>16201.7998046875</v>
      </c>
      <c r="D59" s="46">
        <v>-4.7917748105114177E-2</v>
      </c>
      <c r="E59" s="46">
        <v>-2.306403999829465E-2</v>
      </c>
    </row>
    <row r="60" spans="1:5" x14ac:dyDescent="0.3">
      <c r="A60" s="78">
        <v>44725</v>
      </c>
      <c r="B60">
        <v>3137.884033203125</v>
      </c>
      <c r="C60">
        <v>15293.5</v>
      </c>
      <c r="D60" s="46">
        <v>-8.5544448447083532E-3</v>
      </c>
      <c r="E60" s="46">
        <v>-5.6061660780718392E-2</v>
      </c>
    </row>
    <row r="61" spans="1:5" x14ac:dyDescent="0.3">
      <c r="A61" s="78">
        <v>44732</v>
      </c>
      <c r="B61">
        <v>3267.13427734375</v>
      </c>
      <c r="C61">
        <v>15699.25</v>
      </c>
      <c r="D61" s="46">
        <v>4.1190255207961712E-2</v>
      </c>
      <c r="E61" s="46">
        <v>2.6530879131657189E-2</v>
      </c>
    </row>
    <row r="62" spans="1:5" x14ac:dyDescent="0.3">
      <c r="A62" s="78">
        <v>44739</v>
      </c>
      <c r="B62">
        <v>3433.653076171875</v>
      </c>
      <c r="C62">
        <v>15752.0498046875</v>
      </c>
      <c r="D62" s="46">
        <v>5.0967846648625859E-2</v>
      </c>
      <c r="E62" s="46">
        <v>3.3632055472394562E-3</v>
      </c>
    </row>
    <row r="63" spans="1:5" x14ac:dyDescent="0.3">
      <c r="A63" s="78">
        <v>44746</v>
      </c>
      <c r="B63">
        <v>3656.473876953125</v>
      </c>
      <c r="C63">
        <v>16220.599609375</v>
      </c>
      <c r="D63" s="46">
        <v>6.4893218924047424E-2</v>
      </c>
      <c r="E63" s="46">
        <v>2.974532270384711E-2</v>
      </c>
    </row>
    <row r="64" spans="1:5" x14ac:dyDescent="0.3">
      <c r="A64" s="78">
        <v>44753</v>
      </c>
      <c r="B64">
        <v>3687.08056640625</v>
      </c>
      <c r="C64">
        <v>16049.2001953125</v>
      </c>
      <c r="D64" s="46">
        <v>8.3705478236943964E-3</v>
      </c>
      <c r="E64" s="46">
        <v>-1.0566774237090289E-2</v>
      </c>
    </row>
    <row r="65" spans="1:5" x14ac:dyDescent="0.3">
      <c r="A65" s="78">
        <v>44760</v>
      </c>
      <c r="B65">
        <v>3708.682861328125</v>
      </c>
      <c r="C65">
        <v>16719.44921875</v>
      </c>
      <c r="D65" s="46">
        <v>5.8589158909891914E-3</v>
      </c>
      <c r="E65" s="46">
        <v>4.1762144859608608E-2</v>
      </c>
    </row>
    <row r="66" spans="1:5" x14ac:dyDescent="0.3">
      <c r="A66" s="78">
        <v>44767</v>
      </c>
      <c r="B66">
        <v>3736.41552734375</v>
      </c>
      <c r="C66">
        <v>17158.25</v>
      </c>
      <c r="D66" s="46">
        <v>7.4777669195724714E-3</v>
      </c>
      <c r="E66" s="46">
        <v>2.62449304106207E-2</v>
      </c>
    </row>
    <row r="67" spans="1:5" x14ac:dyDescent="0.3">
      <c r="A67" s="78">
        <v>44774</v>
      </c>
      <c r="B67">
        <v>3533.041259765625</v>
      </c>
      <c r="C67">
        <v>17397.5</v>
      </c>
      <c r="D67" s="46">
        <v>-5.4430313248030382E-2</v>
      </c>
      <c r="E67" s="46">
        <v>1.3943729692713401E-2</v>
      </c>
    </row>
    <row r="68" spans="1:5" x14ac:dyDescent="0.3">
      <c r="A68" s="78">
        <v>44781</v>
      </c>
      <c r="B68">
        <v>3505.883056640625</v>
      </c>
      <c r="C68">
        <v>17698.150390625</v>
      </c>
      <c r="D68" s="46">
        <v>-7.6869193219673004E-3</v>
      </c>
      <c r="E68" s="46">
        <v>1.7281241018824559E-2</v>
      </c>
    </row>
    <row r="69" spans="1:5" x14ac:dyDescent="0.3">
      <c r="A69" s="78">
        <v>44788</v>
      </c>
      <c r="B69">
        <v>3508.565673828125</v>
      </c>
      <c r="C69">
        <v>17758.44921875</v>
      </c>
      <c r="D69" s="46">
        <v>7.6517588982860651E-4</v>
      </c>
      <c r="E69" s="46">
        <v>3.407069484331116E-3</v>
      </c>
    </row>
    <row r="70" spans="1:5" x14ac:dyDescent="0.3">
      <c r="A70" s="78">
        <v>44795</v>
      </c>
      <c r="B70">
        <v>3496.686767578125</v>
      </c>
      <c r="C70">
        <v>17558.900390625</v>
      </c>
      <c r="D70" s="46">
        <v>-3.3856873019677551E-3</v>
      </c>
      <c r="E70" s="46">
        <v>-1.1236838626331741E-2</v>
      </c>
    </row>
    <row r="71" spans="1:5" x14ac:dyDescent="0.3">
      <c r="A71" s="78">
        <v>44802</v>
      </c>
      <c r="B71">
        <v>3548.51220703125</v>
      </c>
      <c r="C71">
        <v>17539.44921875</v>
      </c>
      <c r="D71" s="46">
        <v>1.4821298817400351E-2</v>
      </c>
      <c r="E71" s="46">
        <v>-1.107767083489253E-3</v>
      </c>
    </row>
    <row r="72" spans="1:5" x14ac:dyDescent="0.3">
      <c r="A72" s="78">
        <v>44809</v>
      </c>
      <c r="B72">
        <v>3496.06396484375</v>
      </c>
      <c r="C72">
        <v>17833.349609375</v>
      </c>
      <c r="D72" s="46">
        <v>-1.4780347122260279E-2</v>
      </c>
      <c r="E72" s="46">
        <v>1.675653476682815E-2</v>
      </c>
    </row>
    <row r="73" spans="1:5" x14ac:dyDescent="0.3">
      <c r="A73" s="78">
        <v>44816</v>
      </c>
      <c r="B73">
        <v>3486.5322265625</v>
      </c>
      <c r="C73">
        <v>17530.849609375</v>
      </c>
      <c r="D73" s="46">
        <v>-2.7264198759234799E-3</v>
      </c>
      <c r="E73" s="46">
        <v>-1.6962601341083738E-2</v>
      </c>
    </row>
    <row r="74" spans="1:5" x14ac:dyDescent="0.3">
      <c r="A74" s="78">
        <v>44823</v>
      </c>
      <c r="B74">
        <v>3637.0751953125</v>
      </c>
      <c r="C74">
        <v>17327.349609375</v>
      </c>
      <c r="D74" s="46">
        <v>4.3178424568421692E-2</v>
      </c>
      <c r="E74" s="46">
        <v>-1.160810825113545E-2</v>
      </c>
    </row>
    <row r="75" spans="1:5" x14ac:dyDescent="0.3">
      <c r="A75" s="78">
        <v>44830</v>
      </c>
      <c r="B75">
        <v>3681.4765625</v>
      </c>
      <c r="C75">
        <v>17094.349609375</v>
      </c>
      <c r="D75" s="46">
        <v>1.220798713337712E-2</v>
      </c>
      <c r="E75" s="46">
        <v>-1.3446949778974541E-2</v>
      </c>
    </row>
    <row r="76" spans="1:5" x14ac:dyDescent="0.3">
      <c r="A76" s="78">
        <v>44837</v>
      </c>
      <c r="B76">
        <v>3626.489990234375</v>
      </c>
      <c r="C76">
        <v>17314.650390625</v>
      </c>
      <c r="D76" s="46">
        <v>-1.493601041107406E-2</v>
      </c>
      <c r="E76" s="46">
        <v>1.2887345016576729E-2</v>
      </c>
    </row>
    <row r="77" spans="1:5" x14ac:dyDescent="0.3">
      <c r="A77" s="78">
        <v>44844</v>
      </c>
      <c r="B77">
        <v>3636.644287109375</v>
      </c>
      <c r="C77">
        <v>17185.69921875</v>
      </c>
      <c r="D77" s="46">
        <v>2.8000344416623251E-3</v>
      </c>
      <c r="E77" s="46">
        <v>-7.4475180824222784E-3</v>
      </c>
    </row>
    <row r="78" spans="1:5" x14ac:dyDescent="0.3">
      <c r="A78" s="78">
        <v>44851</v>
      </c>
      <c r="B78">
        <v>3633.24365234375</v>
      </c>
      <c r="C78">
        <v>17576.30078125</v>
      </c>
      <c r="D78" s="46">
        <v>-9.3510239032146281E-4</v>
      </c>
      <c r="E78" s="46">
        <v>2.2728290395880091E-2</v>
      </c>
    </row>
    <row r="79" spans="1:5" x14ac:dyDescent="0.3">
      <c r="A79" s="78">
        <v>44858</v>
      </c>
      <c r="B79">
        <v>3618.874267578125</v>
      </c>
      <c r="C79">
        <v>17786.80078125</v>
      </c>
      <c r="D79" s="46">
        <v>-3.9549741609967706E-3</v>
      </c>
      <c r="E79" s="46">
        <v>1.197635399051422E-2</v>
      </c>
    </row>
    <row r="80" spans="1:5" x14ac:dyDescent="0.3">
      <c r="A80" s="78">
        <v>44865</v>
      </c>
      <c r="B80">
        <v>3644.260009765625</v>
      </c>
      <c r="C80">
        <v>18117.150390625</v>
      </c>
      <c r="D80" s="46">
        <v>7.0148174019013521E-3</v>
      </c>
      <c r="E80" s="46">
        <v>1.857273904609302E-2</v>
      </c>
    </row>
    <row r="81" spans="1:5" x14ac:dyDescent="0.3">
      <c r="A81" s="78">
        <v>44872</v>
      </c>
      <c r="B81">
        <v>3926.33056640625</v>
      </c>
      <c r="C81">
        <v>18349.69921875</v>
      </c>
      <c r="D81" s="46">
        <v>7.7401325889138617E-2</v>
      </c>
      <c r="E81" s="46">
        <v>1.2835839141973169E-2</v>
      </c>
    </row>
    <row r="82" spans="1:5" x14ac:dyDescent="0.3">
      <c r="A82" s="78">
        <v>44879</v>
      </c>
      <c r="B82">
        <v>3933.419189453125</v>
      </c>
      <c r="C82">
        <v>18307.650390625</v>
      </c>
      <c r="D82" s="46">
        <v>1.8054065817905141E-3</v>
      </c>
      <c r="E82" s="46">
        <v>-2.2915268323326909E-3</v>
      </c>
    </row>
    <row r="83" spans="1:5" x14ac:dyDescent="0.3">
      <c r="A83" s="78">
        <v>44886</v>
      </c>
      <c r="B83">
        <v>4007.804931640625</v>
      </c>
      <c r="C83">
        <v>18512.75</v>
      </c>
      <c r="D83" s="46">
        <v>1.8911216578938239E-2</v>
      </c>
      <c r="E83" s="46">
        <v>1.120294548993717E-2</v>
      </c>
    </row>
    <row r="84" spans="1:5" x14ac:dyDescent="0.3">
      <c r="A84" s="78">
        <v>44893</v>
      </c>
      <c r="B84">
        <v>4246.52734375</v>
      </c>
      <c r="C84">
        <v>18696.099609375</v>
      </c>
      <c r="D84" s="46">
        <v>5.9564379050667027E-2</v>
      </c>
      <c r="E84" s="46">
        <v>9.9039639910332156E-3</v>
      </c>
    </row>
    <row r="85" spans="1:5" x14ac:dyDescent="0.3">
      <c r="A85" s="78">
        <v>44900</v>
      </c>
      <c r="B85">
        <v>4224.8779296875</v>
      </c>
      <c r="C85">
        <v>18496.599609375</v>
      </c>
      <c r="D85" s="46">
        <v>-5.0981454515683922E-3</v>
      </c>
      <c r="E85" s="46">
        <v>-1.0670674855624011E-2</v>
      </c>
    </row>
    <row r="86" spans="1:5" x14ac:dyDescent="0.3">
      <c r="A86" s="78">
        <v>44907</v>
      </c>
      <c r="B86">
        <v>4257.83154296875</v>
      </c>
      <c r="C86">
        <v>18269</v>
      </c>
      <c r="D86" s="46">
        <v>7.7998971401493922E-3</v>
      </c>
      <c r="E86" s="46">
        <v>-1.2304943296693399E-2</v>
      </c>
    </row>
    <row r="87" spans="1:5" x14ac:dyDescent="0.3">
      <c r="A87" s="78">
        <v>44914</v>
      </c>
      <c r="B87">
        <v>4149.7744140625</v>
      </c>
      <c r="C87">
        <v>17806.80078125</v>
      </c>
      <c r="D87" s="46">
        <v>-2.5378441541373808E-2</v>
      </c>
      <c r="E87" s="46">
        <v>-2.5299645232360831E-2</v>
      </c>
    </row>
    <row r="88" spans="1:5" x14ac:dyDescent="0.3">
      <c r="A88" s="78">
        <v>44921</v>
      </c>
      <c r="B88">
        <v>4126.35205078125</v>
      </c>
      <c r="C88">
        <v>18105.30078125</v>
      </c>
      <c r="D88" s="46">
        <v>-5.644249769789389E-3</v>
      </c>
      <c r="E88" s="46">
        <v>1.676325824424962E-2</v>
      </c>
    </row>
    <row r="89" spans="1:5" x14ac:dyDescent="0.3">
      <c r="A89" s="78">
        <v>44928</v>
      </c>
      <c r="B89">
        <v>4175.78173828125</v>
      </c>
      <c r="C89">
        <v>17859.44921875</v>
      </c>
      <c r="D89" s="46">
        <v>1.197902818074903E-2</v>
      </c>
      <c r="E89" s="46">
        <v>-1.3578982501887269E-2</v>
      </c>
    </row>
    <row r="90" spans="1:5" x14ac:dyDescent="0.3">
      <c r="A90" s="78">
        <v>44935</v>
      </c>
      <c r="B90">
        <v>4153.79736328125</v>
      </c>
      <c r="C90">
        <v>17956.599609375</v>
      </c>
      <c r="D90" s="46">
        <v>-5.2647327800826593E-3</v>
      </c>
      <c r="E90" s="46">
        <v>5.4397193012540868E-3</v>
      </c>
    </row>
    <row r="91" spans="1:5" x14ac:dyDescent="0.3">
      <c r="A91" s="78">
        <v>44942</v>
      </c>
      <c r="B91">
        <v>4137.36865234375</v>
      </c>
      <c r="C91">
        <v>18027.650390625</v>
      </c>
      <c r="D91" s="46">
        <v>-3.9551064967026086E-3</v>
      </c>
      <c r="E91" s="46">
        <v>3.9568060098029711E-3</v>
      </c>
    </row>
    <row r="92" spans="1:5" x14ac:dyDescent="0.3">
      <c r="A92" s="78">
        <v>44949</v>
      </c>
      <c r="B92">
        <v>4196.23486328125</v>
      </c>
      <c r="C92">
        <v>17604.349609375</v>
      </c>
      <c r="D92" s="46">
        <v>1.4227934681178001E-2</v>
      </c>
      <c r="E92" s="46">
        <v>-2.348064068682687E-2</v>
      </c>
    </row>
    <row r="93" spans="1:5" x14ac:dyDescent="0.3">
      <c r="A93" s="78">
        <v>44956</v>
      </c>
      <c r="B93">
        <v>4434.23974609375</v>
      </c>
      <c r="C93">
        <v>17854.05078125</v>
      </c>
      <c r="D93" s="46">
        <v>5.6718675328480517E-2</v>
      </c>
      <c r="E93" s="46">
        <v>1.4184061178950101E-2</v>
      </c>
    </row>
    <row r="94" spans="1:5" x14ac:dyDescent="0.3">
      <c r="A94" s="78">
        <v>44963</v>
      </c>
      <c r="B94">
        <v>4428.34814453125</v>
      </c>
      <c r="C94">
        <v>17856.5</v>
      </c>
      <c r="D94" s="46">
        <v>-1.3286610331997299E-3</v>
      </c>
      <c r="E94" s="46">
        <v>1.3718000357498819E-4</v>
      </c>
    </row>
    <row r="95" spans="1:5" x14ac:dyDescent="0.3">
      <c r="A95" s="78">
        <v>44970</v>
      </c>
      <c r="B95">
        <v>4342.658203125</v>
      </c>
      <c r="C95">
        <v>17944.19921875</v>
      </c>
      <c r="D95" s="46">
        <v>-1.935031723105873E-2</v>
      </c>
      <c r="E95" s="46">
        <v>4.9113330579901859E-3</v>
      </c>
    </row>
    <row r="96" spans="1:5" x14ac:dyDescent="0.3">
      <c r="A96" s="78">
        <v>44977</v>
      </c>
      <c r="B96">
        <v>4255.771484375</v>
      </c>
      <c r="C96">
        <v>17465.80078125</v>
      </c>
      <c r="D96" s="46">
        <v>-2.0007726762257261E-2</v>
      </c>
      <c r="E96" s="46">
        <v>-2.6660339180815559E-2</v>
      </c>
    </row>
    <row r="97" spans="1:5" x14ac:dyDescent="0.3">
      <c r="A97" s="78">
        <v>44984</v>
      </c>
      <c r="B97">
        <v>4226.45849609375</v>
      </c>
      <c r="C97">
        <v>17594.349609375</v>
      </c>
      <c r="D97" s="46">
        <v>-6.8878200788909938E-3</v>
      </c>
      <c r="E97" s="46">
        <v>7.3600305955052736E-3</v>
      </c>
    </row>
    <row r="98" spans="1:5" x14ac:dyDescent="0.3">
      <c r="A98" s="78">
        <v>44991</v>
      </c>
      <c r="B98">
        <v>4129.75244140625</v>
      </c>
      <c r="C98">
        <v>17412.900390625</v>
      </c>
      <c r="D98" s="46">
        <v>-2.2881108326718299E-2</v>
      </c>
      <c r="E98" s="46">
        <v>-1.031292561410257E-2</v>
      </c>
    </row>
    <row r="99" spans="1:5" x14ac:dyDescent="0.3">
      <c r="A99" s="78">
        <v>44998</v>
      </c>
      <c r="B99">
        <v>4179.13525390625</v>
      </c>
      <c r="C99">
        <v>17100.05078125</v>
      </c>
      <c r="D99" s="46">
        <v>1.195781422752407E-2</v>
      </c>
      <c r="E99" s="46">
        <v>-1.7966542181762971E-2</v>
      </c>
    </row>
    <row r="100" spans="1:5" x14ac:dyDescent="0.3">
      <c r="A100" s="78">
        <v>45005</v>
      </c>
      <c r="B100">
        <v>4023.37158203125</v>
      </c>
      <c r="C100">
        <v>16945.05078125</v>
      </c>
      <c r="D100" s="46">
        <v>-3.727174700302105E-2</v>
      </c>
      <c r="E100" s="46">
        <v>-9.0643005674553301E-3</v>
      </c>
    </row>
    <row r="101" spans="1:5" x14ac:dyDescent="0.3">
      <c r="A101" s="78">
        <v>45012</v>
      </c>
      <c r="B101">
        <v>4140.43408203125</v>
      </c>
      <c r="C101">
        <v>17359.75</v>
      </c>
      <c r="D101" s="46">
        <v>2.9095622319055051E-2</v>
      </c>
      <c r="E101" s="46">
        <v>2.447317651056391E-2</v>
      </c>
    </row>
    <row r="102" spans="1:5" x14ac:dyDescent="0.3">
      <c r="A102" s="78">
        <v>45019</v>
      </c>
      <c r="B102">
        <v>4119.02294921875</v>
      </c>
      <c r="C102">
        <v>17599.150390625</v>
      </c>
      <c r="D102" s="46">
        <v>-5.1712290036014519E-3</v>
      </c>
      <c r="E102" s="46">
        <v>1.379054367862431E-2</v>
      </c>
    </row>
    <row r="103" spans="1:5" x14ac:dyDescent="0.3">
      <c r="A103" s="78">
        <v>45026</v>
      </c>
      <c r="B103">
        <v>4084.920654296875</v>
      </c>
      <c r="C103">
        <v>17828</v>
      </c>
      <c r="D103" s="46">
        <v>-8.2792194513854334E-3</v>
      </c>
      <c r="E103" s="46">
        <v>1.300344643323847E-2</v>
      </c>
    </row>
    <row r="104" spans="1:5" x14ac:dyDescent="0.3">
      <c r="A104" s="78">
        <v>45033</v>
      </c>
      <c r="B104">
        <v>4216.92919921875</v>
      </c>
      <c r="C104">
        <v>17624.05078125</v>
      </c>
      <c r="D104" s="46">
        <v>3.2316060970001281E-2</v>
      </c>
      <c r="E104" s="46">
        <v>-1.1439826046107269E-2</v>
      </c>
    </row>
    <row r="105" spans="1:5" x14ac:dyDescent="0.3">
      <c r="A105" s="78">
        <v>45040</v>
      </c>
      <c r="B105">
        <v>4436.896484375</v>
      </c>
      <c r="C105">
        <v>18065</v>
      </c>
      <c r="D105" s="46">
        <v>5.2162906884232862E-2</v>
      </c>
      <c r="E105" s="46">
        <v>2.5019742862924629E-2</v>
      </c>
    </row>
    <row r="106" spans="1:5" x14ac:dyDescent="0.3">
      <c r="A106" s="78">
        <v>45047</v>
      </c>
      <c r="B106">
        <v>4507.490234375</v>
      </c>
      <c r="C106">
        <v>18069</v>
      </c>
      <c r="D106" s="46">
        <v>1.5910614603834809E-2</v>
      </c>
      <c r="E106" s="46">
        <v>2.2142264046509649E-4</v>
      </c>
    </row>
    <row r="107" spans="1:5" x14ac:dyDescent="0.3">
      <c r="A107" s="78">
        <v>45054</v>
      </c>
      <c r="B107">
        <v>4498.23388671875</v>
      </c>
      <c r="C107">
        <v>18314.80078125</v>
      </c>
      <c r="D107" s="46">
        <v>-2.0535480222806379E-3</v>
      </c>
      <c r="E107" s="46">
        <v>1.360345239083505E-2</v>
      </c>
    </row>
    <row r="108" spans="1:5" x14ac:dyDescent="0.3">
      <c r="A108" s="78">
        <v>45061</v>
      </c>
      <c r="B108">
        <v>4384.572265625</v>
      </c>
      <c r="C108">
        <v>18203.400390625</v>
      </c>
      <c r="D108" s="46">
        <v>-2.5268054964714289E-2</v>
      </c>
      <c r="E108" s="46">
        <v>-6.0825335724671303E-3</v>
      </c>
    </row>
    <row r="109" spans="1:5" x14ac:dyDescent="0.3">
      <c r="A109" s="78">
        <v>45068</v>
      </c>
      <c r="B109">
        <v>4478.4541015625</v>
      </c>
      <c r="C109">
        <v>18499.349609375</v>
      </c>
      <c r="D109" s="46">
        <v>2.1411857360302381E-2</v>
      </c>
      <c r="E109" s="46">
        <v>1.6257908544516701E-2</v>
      </c>
    </row>
    <row r="110" spans="1:5" x14ac:dyDescent="0.3">
      <c r="A110" s="78">
        <v>45075</v>
      </c>
      <c r="B110">
        <v>4534.91943359375</v>
      </c>
      <c r="C110">
        <v>18534.099609375</v>
      </c>
      <c r="D110" s="46">
        <v>1.260821943258272E-2</v>
      </c>
      <c r="E110" s="46">
        <v>1.8784444174400059E-3</v>
      </c>
    </row>
    <row r="111" spans="1:5" x14ac:dyDescent="0.3">
      <c r="A111" s="78">
        <v>45082</v>
      </c>
      <c r="B111">
        <v>4753.76513671875</v>
      </c>
      <c r="C111">
        <v>18563.400390625</v>
      </c>
      <c r="D111" s="46">
        <v>4.8257903217383769E-2</v>
      </c>
      <c r="E111" s="46">
        <v>1.580912041455607E-3</v>
      </c>
    </row>
    <row r="112" spans="1:5" x14ac:dyDescent="0.3">
      <c r="A112" s="78">
        <v>45089</v>
      </c>
      <c r="B112">
        <v>4915.46435546875</v>
      </c>
      <c r="C112">
        <v>18826</v>
      </c>
      <c r="D112" s="46">
        <v>3.4014978464335988E-2</v>
      </c>
      <c r="E112" s="46">
        <v>1.41460941341125E-2</v>
      </c>
    </row>
    <row r="113" spans="1:5" x14ac:dyDescent="0.3">
      <c r="A113" s="78">
        <v>45096</v>
      </c>
      <c r="B113">
        <v>4843.45703125</v>
      </c>
      <c r="C113">
        <v>18665.5</v>
      </c>
      <c r="D113" s="46">
        <v>-1.464913973766024E-2</v>
      </c>
      <c r="E113" s="46">
        <v>-8.5254435355359703E-3</v>
      </c>
    </row>
    <row r="114" spans="1:5" x14ac:dyDescent="0.3">
      <c r="A114" s="78">
        <v>45103</v>
      </c>
      <c r="B114">
        <v>4895.830078125</v>
      </c>
      <c r="C114">
        <v>19189.05078125</v>
      </c>
      <c r="D114" s="46">
        <v>1.08131540214127E-2</v>
      </c>
      <c r="E114" s="46">
        <v>2.8049116351021919E-2</v>
      </c>
    </row>
    <row r="115" spans="1:5" x14ac:dyDescent="0.3">
      <c r="A115" s="78">
        <v>45110</v>
      </c>
      <c r="B115">
        <v>4925.0126953125</v>
      </c>
      <c r="C115">
        <v>19331.80078125</v>
      </c>
      <c r="D115" s="46">
        <v>5.9607087504711656E-3</v>
      </c>
      <c r="E115" s="46">
        <v>7.4391381641183418E-3</v>
      </c>
    </row>
    <row r="116" spans="1:5" x14ac:dyDescent="0.3">
      <c r="A116" s="78">
        <v>45117</v>
      </c>
      <c r="B116">
        <v>5001.697265625</v>
      </c>
      <c r="C116">
        <v>19564.5</v>
      </c>
      <c r="D116" s="46">
        <v>1.557043099309907E-2</v>
      </c>
      <c r="E116" s="46">
        <v>1.20371206688461E-2</v>
      </c>
    </row>
    <row r="117" spans="1:5" x14ac:dyDescent="0.3">
      <c r="A117" s="78">
        <v>45124</v>
      </c>
      <c r="B117">
        <v>4917.705078125</v>
      </c>
      <c r="C117">
        <v>19745</v>
      </c>
      <c r="D117" s="46">
        <v>-1.6792737152896201E-2</v>
      </c>
      <c r="E117" s="46">
        <v>9.225893838329613E-3</v>
      </c>
    </row>
    <row r="118" spans="1:5" x14ac:dyDescent="0.3">
      <c r="A118" s="78">
        <v>45131</v>
      </c>
      <c r="B118">
        <v>4777.7353515625</v>
      </c>
      <c r="C118">
        <v>19646.05078125</v>
      </c>
      <c r="D118" s="46">
        <v>-2.846240763504004E-2</v>
      </c>
      <c r="E118" s="46">
        <v>-5.0113557229678474E-3</v>
      </c>
    </row>
    <row r="119" spans="1:5" x14ac:dyDescent="0.3">
      <c r="A119" s="78">
        <v>45138</v>
      </c>
      <c r="B119">
        <v>4675.57080078125</v>
      </c>
      <c r="C119">
        <v>19517</v>
      </c>
      <c r="D119" s="46">
        <v>-2.1383467953669411E-2</v>
      </c>
      <c r="E119" s="46">
        <v>-6.5687899663359186E-3</v>
      </c>
    </row>
    <row r="120" spans="1:5" x14ac:dyDescent="0.3">
      <c r="A120" s="78">
        <v>45145</v>
      </c>
      <c r="B120">
        <v>4394.75390625</v>
      </c>
      <c r="C120">
        <v>19428.30078125</v>
      </c>
      <c r="D120" s="46">
        <v>-6.0060451760099109E-2</v>
      </c>
      <c r="E120" s="46">
        <v>-4.5447158246656461E-3</v>
      </c>
    </row>
    <row r="121" spans="1:5" x14ac:dyDescent="0.3">
      <c r="A121" s="78">
        <v>45152</v>
      </c>
      <c r="B121">
        <v>4418.8701171875</v>
      </c>
      <c r="C121">
        <v>19310.150390625</v>
      </c>
      <c r="D121" s="46">
        <v>5.4874997444573914E-3</v>
      </c>
      <c r="E121" s="46">
        <v>-6.0813548212629298E-3</v>
      </c>
    </row>
    <row r="122" spans="1:5" x14ac:dyDescent="0.3">
      <c r="A122" s="78">
        <v>45159</v>
      </c>
      <c r="B122">
        <v>4409.857421875</v>
      </c>
      <c r="C122">
        <v>19265.80078125</v>
      </c>
      <c r="D122" s="46">
        <v>-2.039592717931304E-3</v>
      </c>
      <c r="E122" s="46">
        <v>-2.296699325373019E-3</v>
      </c>
    </row>
    <row r="123" spans="1:5" x14ac:dyDescent="0.3">
      <c r="A123" s="78">
        <v>45166</v>
      </c>
      <c r="B123">
        <v>4369.46923828125</v>
      </c>
      <c r="C123">
        <v>19435.30078125</v>
      </c>
      <c r="D123" s="46">
        <v>-9.1586143790965968E-3</v>
      </c>
      <c r="E123" s="46">
        <v>8.797973254502045E-3</v>
      </c>
    </row>
    <row r="124" spans="1:5" x14ac:dyDescent="0.3">
      <c r="A124" s="78">
        <v>45173</v>
      </c>
      <c r="B124">
        <v>4424.1806640625</v>
      </c>
      <c r="C124">
        <v>19819.94921875</v>
      </c>
      <c r="D124" s="46">
        <v>1.252129785053047E-2</v>
      </c>
      <c r="E124" s="46">
        <v>1.9791226378708119E-2</v>
      </c>
    </row>
    <row r="125" spans="1:5" x14ac:dyDescent="0.3">
      <c r="A125" s="78">
        <v>45180</v>
      </c>
      <c r="B125">
        <v>4416.7265625</v>
      </c>
      <c r="C125">
        <v>20192.349609375</v>
      </c>
      <c r="D125" s="46">
        <v>-1.6848546948025069E-3</v>
      </c>
      <c r="E125" s="46">
        <v>1.8789169766020519E-2</v>
      </c>
    </row>
    <row r="126" spans="1:5" x14ac:dyDescent="0.3">
      <c r="A126" s="78">
        <v>45187</v>
      </c>
      <c r="B126">
        <v>4447.7119140625</v>
      </c>
      <c r="C126">
        <v>19674.25</v>
      </c>
      <c r="D126" s="46">
        <v>7.015456158318667E-3</v>
      </c>
      <c r="E126" s="46">
        <v>-2.5658213105346332E-2</v>
      </c>
    </row>
    <row r="127" spans="1:5" x14ac:dyDescent="0.3">
      <c r="A127" s="78">
        <v>45194</v>
      </c>
      <c r="B127">
        <v>4420.91650390625</v>
      </c>
      <c r="C127">
        <v>19638.30078125</v>
      </c>
      <c r="D127" s="46">
        <v>-6.024538161190196E-3</v>
      </c>
      <c r="E127" s="46">
        <v>-1.827221812775615E-3</v>
      </c>
    </row>
    <row r="128" spans="1:5" x14ac:dyDescent="0.3">
      <c r="A128" s="78">
        <v>45201</v>
      </c>
      <c r="B128">
        <v>4422.18359375</v>
      </c>
      <c r="C128">
        <v>19653.5</v>
      </c>
      <c r="D128" s="46">
        <v>2.8661248015660062E-4</v>
      </c>
      <c r="E128" s="46">
        <v>7.7395793654977396E-4</v>
      </c>
    </row>
    <row r="129" spans="1:5" x14ac:dyDescent="0.3">
      <c r="A129" s="78">
        <v>45208</v>
      </c>
      <c r="B129">
        <v>4457.50439453125</v>
      </c>
      <c r="C129">
        <v>19751.05078125</v>
      </c>
      <c r="D129" s="46">
        <v>7.9871855232718225E-3</v>
      </c>
      <c r="E129" s="46">
        <v>4.9635322588852393E-3</v>
      </c>
    </row>
    <row r="130" spans="1:5" x14ac:dyDescent="0.3">
      <c r="A130" s="78">
        <v>45215</v>
      </c>
      <c r="B130">
        <v>4462.6689453125</v>
      </c>
      <c r="C130">
        <v>19542.650390625</v>
      </c>
      <c r="D130" s="46">
        <v>1.158619335874578E-3</v>
      </c>
      <c r="E130" s="46">
        <v>-1.0551357137051021E-2</v>
      </c>
    </row>
    <row r="131" spans="1:5" x14ac:dyDescent="0.3">
      <c r="A131" s="78">
        <v>45222</v>
      </c>
      <c r="B131">
        <v>4398.6513671875</v>
      </c>
      <c r="C131">
        <v>19047.25</v>
      </c>
      <c r="D131" s="46">
        <v>-1.434513267945692E-2</v>
      </c>
      <c r="E131" s="46">
        <v>-2.534970337813813E-2</v>
      </c>
    </row>
    <row r="132" spans="1:5" x14ac:dyDescent="0.3">
      <c r="A132" s="78">
        <v>45229</v>
      </c>
      <c r="B132">
        <v>4423.2548828125</v>
      </c>
      <c r="C132">
        <v>19230.599609375</v>
      </c>
      <c r="D132" s="46">
        <v>5.5934225223062128E-3</v>
      </c>
      <c r="E132" s="46">
        <v>9.6260409967319216E-3</v>
      </c>
    </row>
    <row r="133" spans="1:5" x14ac:dyDescent="0.3">
      <c r="A133" s="78">
        <v>45236</v>
      </c>
      <c r="B133">
        <v>4562.00732421875</v>
      </c>
      <c r="C133">
        <v>19425.349609375</v>
      </c>
      <c r="D133" s="46">
        <v>3.1368855081221447E-2</v>
      </c>
      <c r="E133" s="46">
        <v>1.0127089324092561E-2</v>
      </c>
    </row>
    <row r="134" spans="1:5" x14ac:dyDescent="0.3">
      <c r="A134" s="78">
        <v>45243</v>
      </c>
      <c r="B134">
        <v>4597.42578125</v>
      </c>
      <c r="C134">
        <v>19731.80078125</v>
      </c>
      <c r="D134" s="46">
        <v>7.7637878490945944E-3</v>
      </c>
      <c r="E134" s="46">
        <v>1.577583817215333E-2</v>
      </c>
    </row>
    <row r="135" spans="1:5" x14ac:dyDescent="0.3">
      <c r="A135" s="78">
        <v>45250</v>
      </c>
      <c r="B135">
        <v>4525.17529296875</v>
      </c>
      <c r="C135">
        <v>19794.69921875</v>
      </c>
      <c r="D135" s="46">
        <v>-1.5715422438338011E-2</v>
      </c>
      <c r="E135" s="46">
        <v>3.1876683835045938E-3</v>
      </c>
    </row>
    <row r="136" spans="1:5" x14ac:dyDescent="0.3">
      <c r="A136" s="78">
        <v>45257</v>
      </c>
      <c r="B136">
        <v>4843.408203125</v>
      </c>
      <c r="C136">
        <v>20267.900390625</v>
      </c>
      <c r="D136" s="46">
        <v>7.0324990647483432E-2</v>
      </c>
      <c r="E136" s="46">
        <v>2.3905448961142769E-2</v>
      </c>
    </row>
    <row r="137" spans="1:5" x14ac:dyDescent="0.3">
      <c r="A137" s="78">
        <v>45264</v>
      </c>
      <c r="B137">
        <v>4815.59033203125</v>
      </c>
      <c r="C137">
        <v>20969.400390625</v>
      </c>
      <c r="D137" s="46">
        <v>-5.7434496385834199E-3</v>
      </c>
      <c r="E137" s="46">
        <v>3.4611379890365113E-2</v>
      </c>
    </row>
    <row r="138" spans="1:5" x14ac:dyDescent="0.3">
      <c r="A138" s="78">
        <v>45271</v>
      </c>
      <c r="B138">
        <v>4788.0146484375</v>
      </c>
      <c r="C138">
        <v>21456.650390625</v>
      </c>
      <c r="D138" s="46">
        <v>-5.726335026949525E-3</v>
      </c>
      <c r="E138" s="46">
        <v>2.3236239039903021E-2</v>
      </c>
    </row>
    <row r="139" spans="1:5" x14ac:dyDescent="0.3">
      <c r="A139" s="78">
        <v>45278</v>
      </c>
      <c r="B139">
        <v>5028.8818359375</v>
      </c>
      <c r="C139">
        <v>21349.400390625</v>
      </c>
      <c r="D139" s="46">
        <v>5.0306276230504647E-2</v>
      </c>
      <c r="E139" s="46">
        <v>-4.9984502728748206E-3</v>
      </c>
    </row>
    <row r="140" spans="1:5" x14ac:dyDescent="0.3">
      <c r="A140" s="78">
        <v>45285</v>
      </c>
      <c r="B140">
        <v>5201.68896484375</v>
      </c>
      <c r="C140">
        <v>21731.400390625</v>
      </c>
      <c r="D140" s="46">
        <v>3.4362932863391649E-2</v>
      </c>
      <c r="E140" s="46">
        <v>1.7892774176821561E-2</v>
      </c>
    </row>
    <row r="141" spans="1:5" x14ac:dyDescent="0.3">
      <c r="A141" s="78">
        <v>45292</v>
      </c>
      <c r="B141">
        <v>5137.2822265625</v>
      </c>
      <c r="C141">
        <v>21710.80078125</v>
      </c>
      <c r="D141" s="46">
        <v>-1.238188955867048E-2</v>
      </c>
      <c r="E141" s="46">
        <v>-9.4791909424696286E-4</v>
      </c>
    </row>
    <row r="142" spans="1:5" x14ac:dyDescent="0.3">
      <c r="A142" s="78">
        <v>45299</v>
      </c>
      <c r="B142">
        <v>5019.13818359375</v>
      </c>
      <c r="C142">
        <v>21894.55078125</v>
      </c>
      <c r="D142" s="46">
        <v>-2.2997382226322301E-2</v>
      </c>
      <c r="E142" s="46">
        <v>8.4635293673134271E-3</v>
      </c>
    </row>
    <row r="143" spans="1:5" x14ac:dyDescent="0.3">
      <c r="A143" s="78">
        <v>45306</v>
      </c>
      <c r="B143">
        <v>5007.0068359375</v>
      </c>
      <c r="C143">
        <v>21622.400390625</v>
      </c>
      <c r="D143" s="46">
        <v>-2.4170180641577281E-3</v>
      </c>
      <c r="E143" s="46">
        <v>-1.243005135588637E-2</v>
      </c>
    </row>
    <row r="144" spans="1:5" x14ac:dyDescent="0.3">
      <c r="A144" s="78">
        <v>45313</v>
      </c>
      <c r="B144">
        <v>5010.173828125</v>
      </c>
      <c r="C144">
        <v>21352.599609375</v>
      </c>
      <c r="D144" s="46">
        <v>6.3251205585923564E-4</v>
      </c>
      <c r="E144" s="46">
        <v>-1.247783670526148E-2</v>
      </c>
    </row>
    <row r="145" spans="1:5" x14ac:dyDescent="0.3">
      <c r="A145" s="78">
        <v>45320</v>
      </c>
      <c r="B145">
        <v>5016.94580078125</v>
      </c>
      <c r="C145">
        <v>21853.80078125</v>
      </c>
      <c r="D145" s="46">
        <v>1.3516442519887479E-3</v>
      </c>
      <c r="E145" s="46">
        <v>2.3472606663543779E-2</v>
      </c>
    </row>
    <row r="146" spans="1:5" x14ac:dyDescent="0.3">
      <c r="A146" s="78">
        <v>45327</v>
      </c>
      <c r="B146">
        <v>4844.13916015625</v>
      </c>
      <c r="C146">
        <v>21782.5</v>
      </c>
      <c r="D146" s="46">
        <v>-3.4444589893335098E-2</v>
      </c>
      <c r="E146" s="46">
        <v>-3.262626119991618E-3</v>
      </c>
    </row>
    <row r="147" spans="1:5" x14ac:dyDescent="0.3">
      <c r="A147" s="78">
        <v>45334</v>
      </c>
      <c r="B147">
        <v>4787.8203125</v>
      </c>
      <c r="C147">
        <v>22040.69921875</v>
      </c>
      <c r="D147" s="46">
        <v>-1.162618285607497E-2</v>
      </c>
      <c r="E147" s="46">
        <v>1.1853516297486429E-2</v>
      </c>
    </row>
    <row r="148" spans="1:5" x14ac:dyDescent="0.3">
      <c r="A148" s="78">
        <v>45341</v>
      </c>
      <c r="B148">
        <v>4809.8896484375</v>
      </c>
      <c r="C148">
        <v>22212.69921875</v>
      </c>
      <c r="D148" s="46">
        <v>4.6094745619174038E-3</v>
      </c>
      <c r="E148" s="46">
        <v>7.8037451667449798E-3</v>
      </c>
    </row>
    <row r="149" spans="1:5" x14ac:dyDescent="0.3">
      <c r="A149" s="78">
        <v>45348</v>
      </c>
      <c r="B149">
        <v>4801.4619140625</v>
      </c>
      <c r="C149">
        <v>22338.75</v>
      </c>
      <c r="D149" s="46">
        <v>-1.7521679271244039E-3</v>
      </c>
      <c r="E149" s="46">
        <v>5.6747169719741919E-3</v>
      </c>
    </row>
    <row r="150" spans="1:5" x14ac:dyDescent="0.3">
      <c r="A150" s="78">
        <v>45355</v>
      </c>
      <c r="B150">
        <v>4763.89892578125</v>
      </c>
      <c r="C150">
        <v>22493.55078125</v>
      </c>
      <c r="D150" s="46">
        <v>-7.8232398701811867E-3</v>
      </c>
      <c r="E150" s="46">
        <v>6.9296975546975226E-3</v>
      </c>
    </row>
    <row r="151" spans="1:5" x14ac:dyDescent="0.3">
      <c r="A151" s="78">
        <v>45362</v>
      </c>
      <c r="B151">
        <v>4846.7705078125</v>
      </c>
      <c r="C151">
        <v>22023.349609375</v>
      </c>
      <c r="D151" s="46">
        <v>1.7395747332666019E-2</v>
      </c>
      <c r="E151" s="46">
        <v>-2.09038215641324E-2</v>
      </c>
    </row>
    <row r="152" spans="1:5" x14ac:dyDescent="0.3">
      <c r="A152" s="78">
        <v>45369</v>
      </c>
      <c r="B152">
        <v>4740.36767578125</v>
      </c>
      <c r="C152">
        <v>22096.75</v>
      </c>
      <c r="D152" s="46">
        <v>-2.195334643134839E-2</v>
      </c>
      <c r="E152" s="46">
        <v>3.332844091697762E-3</v>
      </c>
    </row>
    <row r="153" spans="1:5" x14ac:dyDescent="0.3">
      <c r="A153" s="78">
        <v>45376</v>
      </c>
      <c r="B153">
        <v>4785.4326171875</v>
      </c>
      <c r="C153">
        <v>22326.900390625</v>
      </c>
      <c r="D153" s="46">
        <v>9.5066341871514748E-3</v>
      </c>
      <c r="E153" s="46">
        <v>1.0415576527091019E-2</v>
      </c>
    </row>
    <row r="154" spans="1:5" x14ac:dyDescent="0.3">
      <c r="A154" s="78">
        <v>45383</v>
      </c>
      <c r="B154">
        <v>4689.74853515625</v>
      </c>
      <c r="C154">
        <v>22513.69921875</v>
      </c>
      <c r="D154" s="46">
        <v>-1.9994865602660061E-2</v>
      </c>
      <c r="E154" s="46">
        <v>8.3665365481468967E-3</v>
      </c>
    </row>
    <row r="155" spans="1:5" x14ac:dyDescent="0.3">
      <c r="A155" s="78">
        <v>45390</v>
      </c>
      <c r="B155">
        <v>4630.01904296875</v>
      </c>
      <c r="C155">
        <v>22519.400390625</v>
      </c>
      <c r="D155" s="46">
        <v>-1.273618227922957E-2</v>
      </c>
      <c r="E155" s="46">
        <v>2.5323123577369882E-4</v>
      </c>
    </row>
    <row r="156" spans="1:5" x14ac:dyDescent="0.3">
      <c r="A156" s="78">
        <v>45397</v>
      </c>
      <c r="B156">
        <v>4548.70654296875</v>
      </c>
      <c r="C156">
        <v>22147</v>
      </c>
      <c r="D156" s="46">
        <v>-1.7562022800636901E-2</v>
      </c>
      <c r="E156" s="46">
        <v>-1.6536869728557831E-2</v>
      </c>
    </row>
    <row r="157" spans="1:5" x14ac:dyDescent="0.3">
      <c r="A157" s="78">
        <v>45404</v>
      </c>
      <c r="B157">
        <v>4677.4716796875</v>
      </c>
      <c r="C157">
        <v>22419.94921875</v>
      </c>
      <c r="D157" s="46">
        <v>2.8308077362737549E-2</v>
      </c>
      <c r="E157" s="46">
        <v>1.232443304962305E-2</v>
      </c>
    </row>
    <row r="158" spans="1:5" x14ac:dyDescent="0.3">
      <c r="A158" s="78">
        <v>45411</v>
      </c>
      <c r="B158">
        <v>4623.0517578125</v>
      </c>
      <c r="C158">
        <v>22475.849609375</v>
      </c>
      <c r="D158" s="46">
        <v>-1.1634473835795739E-2</v>
      </c>
      <c r="E158" s="46">
        <v>2.493332615501664E-3</v>
      </c>
    </row>
    <row r="159" spans="1:5" x14ac:dyDescent="0.3">
      <c r="A159" s="78">
        <v>45418</v>
      </c>
      <c r="B159">
        <v>4936.998046875</v>
      </c>
      <c r="C159">
        <v>22055.19921875</v>
      </c>
      <c r="D159" s="46">
        <v>6.7908884760366828E-2</v>
      </c>
      <c r="E159" s="46">
        <v>-1.871566138481107E-2</v>
      </c>
    </row>
    <row r="160" spans="1:5" x14ac:dyDescent="0.3">
      <c r="A160" s="78">
        <v>45425</v>
      </c>
      <c r="B160">
        <v>4965.49853515625</v>
      </c>
      <c r="C160">
        <v>22466.099609375</v>
      </c>
      <c r="D160" s="46">
        <v>5.7728376658545688E-3</v>
      </c>
      <c r="E160" s="46">
        <v>1.8630545412424929E-2</v>
      </c>
    </row>
    <row r="161" spans="1:5" x14ac:dyDescent="0.3">
      <c r="A161" s="78">
        <v>45432</v>
      </c>
      <c r="B161">
        <v>5106.443359375</v>
      </c>
      <c r="C161">
        <v>22957.099609375</v>
      </c>
      <c r="D161" s="46">
        <v>2.83848284761028E-2</v>
      </c>
      <c r="E161" s="46">
        <v>2.1855151029202661E-2</v>
      </c>
    </row>
    <row r="162" spans="1:5" x14ac:dyDescent="0.3">
      <c r="A162" s="78">
        <v>45439</v>
      </c>
      <c r="B162">
        <v>5047.10302734375</v>
      </c>
      <c r="C162">
        <v>22530.69921875</v>
      </c>
      <c r="D162" s="46">
        <v>-1.162067761356955E-2</v>
      </c>
      <c r="E162" s="46">
        <v>-1.8573791893592321E-2</v>
      </c>
    </row>
    <row r="163" spans="1:5" x14ac:dyDescent="0.3">
      <c r="A163" s="78">
        <v>45446</v>
      </c>
      <c r="B163">
        <v>5323.58349609375</v>
      </c>
      <c r="C163">
        <v>23290.150390625</v>
      </c>
      <c r="D163" s="46">
        <v>5.4780032674607293E-2</v>
      </c>
      <c r="E163" s="46">
        <v>3.3707394719600492E-2</v>
      </c>
    </row>
    <row r="164" spans="1:5" x14ac:dyDescent="0.3">
      <c r="A164" s="78">
        <v>45453</v>
      </c>
      <c r="B164">
        <v>5255.474609375</v>
      </c>
      <c r="C164">
        <v>23465.599609375</v>
      </c>
      <c r="D164" s="46">
        <v>-1.279380454326029E-2</v>
      </c>
      <c r="E164" s="46">
        <v>7.5331938955887079E-3</v>
      </c>
    </row>
    <row r="165" spans="1:5" x14ac:dyDescent="0.3">
      <c r="A165" s="78">
        <v>45460</v>
      </c>
      <c r="B165">
        <v>5193.7470703125</v>
      </c>
      <c r="C165">
        <v>23501.099609375</v>
      </c>
      <c r="D165" s="46">
        <v>-1.1745378610028331E-2</v>
      </c>
      <c r="E165" s="46">
        <v>1.512852882131988E-3</v>
      </c>
    </row>
    <row r="166" spans="1:5" x14ac:dyDescent="0.3">
      <c r="A166" s="78">
        <v>45467</v>
      </c>
      <c r="B166">
        <v>5335.2763671875</v>
      </c>
      <c r="C166">
        <v>24010.599609375</v>
      </c>
      <c r="D166" s="46">
        <v>2.7249940160540831E-2</v>
      </c>
      <c r="E166" s="46">
        <v>2.1679836623336168E-2</v>
      </c>
    </row>
    <row r="167" spans="1:5" x14ac:dyDescent="0.3">
      <c r="A167" s="78">
        <v>45474</v>
      </c>
      <c r="B167">
        <v>5404.70068359375</v>
      </c>
      <c r="C167">
        <v>24323.849609375</v>
      </c>
      <c r="D167" s="46">
        <v>1.301231869322028E-2</v>
      </c>
      <c r="E167" s="46">
        <v>1.304632142038176E-2</v>
      </c>
    </row>
    <row r="168" spans="1:5" x14ac:dyDescent="0.3">
      <c r="A168" s="78">
        <v>45481</v>
      </c>
      <c r="B168">
        <v>5638.79638671875</v>
      </c>
      <c r="C168">
        <v>24502.150390625</v>
      </c>
      <c r="D168" s="46">
        <v>4.3313351992943838E-2</v>
      </c>
      <c r="E168" s="46">
        <v>7.3302862874664587E-3</v>
      </c>
    </row>
    <row r="169" spans="1:5" x14ac:dyDescent="0.3">
      <c r="A169" s="78">
        <v>45488</v>
      </c>
      <c r="B169">
        <v>5727.3681640625</v>
      </c>
      <c r="C169">
        <v>24530.900390625</v>
      </c>
      <c r="D169" s="46">
        <v>1.5707567939918121E-2</v>
      </c>
      <c r="E169" s="46">
        <v>1.173366400158971E-3</v>
      </c>
    </row>
    <row r="170" spans="1:5" x14ac:dyDescent="0.3">
      <c r="A170" s="78">
        <v>45495</v>
      </c>
      <c r="B170">
        <v>5722.349609375</v>
      </c>
      <c r="C170">
        <v>24834.849609375</v>
      </c>
      <c r="D170" s="46">
        <v>-8.7624097905736331E-4</v>
      </c>
      <c r="E170" s="46">
        <v>1.23904632080345E-2</v>
      </c>
    </row>
    <row r="171" spans="1:5" x14ac:dyDescent="0.3">
      <c r="A171" s="78">
        <v>45502</v>
      </c>
      <c r="B171">
        <v>5573.80517578125</v>
      </c>
      <c r="C171">
        <v>24717.69921875</v>
      </c>
      <c r="D171" s="46">
        <v>-2.5958643517758451E-2</v>
      </c>
      <c r="E171" s="46">
        <v>-4.7171773724281607E-3</v>
      </c>
    </row>
    <row r="172" spans="1:5" x14ac:dyDescent="0.3">
      <c r="A172" s="78">
        <v>45509</v>
      </c>
      <c r="B172">
        <v>5593.24365234375</v>
      </c>
      <c r="C172">
        <v>24367.5</v>
      </c>
      <c r="D172" s="46">
        <v>3.487469681746624E-3</v>
      </c>
      <c r="E172" s="46">
        <v>-1.4167953726225041E-2</v>
      </c>
    </row>
    <row r="173" spans="1:5" x14ac:dyDescent="0.3">
      <c r="A173" s="78">
        <v>45516</v>
      </c>
      <c r="B173">
        <v>5655.53369140625</v>
      </c>
      <c r="C173">
        <v>24541.150390625</v>
      </c>
      <c r="D173" s="46">
        <v>1.1136657534380531E-2</v>
      </c>
      <c r="E173" s="46">
        <v>7.126311300913013E-3</v>
      </c>
    </row>
    <row r="174" spans="1:5" x14ac:dyDescent="0.3">
      <c r="A174" s="78">
        <v>45523</v>
      </c>
      <c r="B174">
        <v>5717.71875</v>
      </c>
      <c r="C174">
        <v>24823.150390625</v>
      </c>
      <c r="D174" s="46">
        <v>1.099543597242514E-2</v>
      </c>
      <c r="E174" s="46">
        <v>1.1490903870086109E-2</v>
      </c>
    </row>
    <row r="175" spans="1:5" x14ac:dyDescent="0.3">
      <c r="A175" s="78">
        <v>45530</v>
      </c>
      <c r="B175">
        <v>5779.50927734375</v>
      </c>
      <c r="C175">
        <v>25235.900390625</v>
      </c>
      <c r="D175" s="46">
        <v>1.080684973246537E-2</v>
      </c>
      <c r="E175" s="46">
        <v>1.6627623549180241E-2</v>
      </c>
    </row>
    <row r="176" spans="1:5" x14ac:dyDescent="0.3">
      <c r="A176" s="78">
        <v>45537</v>
      </c>
      <c r="B176">
        <v>5767.96044921875</v>
      </c>
      <c r="C176">
        <v>24852.150390625</v>
      </c>
      <c r="D176" s="46">
        <v>-1.998236800185182E-3</v>
      </c>
      <c r="E176" s="46">
        <v>-1.520651112343752E-2</v>
      </c>
    </row>
    <row r="177" spans="1:5" x14ac:dyDescent="0.3">
      <c r="A177" s="78">
        <v>45544</v>
      </c>
      <c r="B177">
        <v>6053.76513671875</v>
      </c>
      <c r="C177">
        <v>25356.5</v>
      </c>
      <c r="D177" s="46">
        <v>4.9550389607597063E-2</v>
      </c>
      <c r="E177" s="46">
        <v>2.0294002790408609E-2</v>
      </c>
    </row>
    <row r="178" spans="1:5" x14ac:dyDescent="0.3">
      <c r="A178" s="78">
        <v>45551</v>
      </c>
      <c r="B178">
        <v>6130.212890625</v>
      </c>
      <c r="C178">
        <v>25790.94921875</v>
      </c>
      <c r="D178" s="46">
        <v>1.2628133430971911E-2</v>
      </c>
      <c r="E178" s="46">
        <v>1.7133643000808441E-2</v>
      </c>
    </row>
    <row r="179" spans="1:5" x14ac:dyDescent="0.3">
      <c r="A179" s="78">
        <v>45558</v>
      </c>
      <c r="B179">
        <v>6187.70947265625</v>
      </c>
      <c r="C179">
        <v>26178.94921875</v>
      </c>
      <c r="D179" s="46">
        <v>9.3792145651547809E-3</v>
      </c>
      <c r="E179" s="46">
        <v>1.5044037220542711E-2</v>
      </c>
    </row>
    <row r="180" spans="1:5" x14ac:dyDescent="0.3">
      <c r="A180" s="78">
        <v>45565</v>
      </c>
      <c r="B180">
        <v>6125.72216796875</v>
      </c>
      <c r="C180">
        <v>25014.599609375</v>
      </c>
      <c r="D180" s="46">
        <v>-1.001781110787836E-2</v>
      </c>
      <c r="E180" s="46">
        <v>-4.4476560141728849E-2</v>
      </c>
    </row>
    <row r="181" spans="1:5" x14ac:dyDescent="0.3">
      <c r="A181" s="78">
        <v>45572</v>
      </c>
      <c r="B181">
        <v>5901.1650390625</v>
      </c>
      <c r="C181">
        <v>24964.25</v>
      </c>
      <c r="D181" s="46">
        <v>-3.6658066224494079E-2</v>
      </c>
      <c r="E181" s="46">
        <v>-2.012808926037279E-3</v>
      </c>
    </row>
    <row r="182" spans="1:5" x14ac:dyDescent="0.3">
      <c r="A182" s="78">
        <v>45579</v>
      </c>
      <c r="B182">
        <v>5811.04638671875</v>
      </c>
      <c r="C182">
        <v>24854.05078125</v>
      </c>
      <c r="D182" s="46">
        <v>-1.5271332312723601E-2</v>
      </c>
      <c r="E182" s="46">
        <v>-4.4142811720760946E-3</v>
      </c>
    </row>
    <row r="183" spans="1:5" x14ac:dyDescent="0.3">
      <c r="A183" s="78">
        <v>45586</v>
      </c>
      <c r="B183">
        <v>5596.0634765625</v>
      </c>
      <c r="C183">
        <v>24180.80078125</v>
      </c>
      <c r="D183" s="46">
        <v>-3.6995559121262067E-2</v>
      </c>
      <c r="E183" s="46">
        <v>-2.708813971314095E-2</v>
      </c>
    </row>
    <row r="184" spans="1:5" x14ac:dyDescent="0.3">
      <c r="A184" s="78">
        <v>45593</v>
      </c>
      <c r="B184">
        <v>5619.4072265625</v>
      </c>
      <c r="C184">
        <v>24304.349609375</v>
      </c>
      <c r="D184" s="46">
        <v>4.1714591154600189E-3</v>
      </c>
      <c r="E184" s="46">
        <v>5.1093770319137199E-3</v>
      </c>
    </row>
    <row r="185" spans="1:5" x14ac:dyDescent="0.3">
      <c r="A185" s="78">
        <v>45600</v>
      </c>
      <c r="B185">
        <v>5672.8076171875</v>
      </c>
      <c r="C185">
        <v>24148.19921875</v>
      </c>
      <c r="D185" s="46">
        <v>9.5028511855450581E-3</v>
      </c>
      <c r="E185" s="46">
        <v>-6.424791987223899E-3</v>
      </c>
    </row>
    <row r="186" spans="1:5" x14ac:dyDescent="0.3">
      <c r="A186" s="78">
        <v>45607</v>
      </c>
      <c r="B186">
        <v>4852.01416015625</v>
      </c>
      <c r="C186">
        <v>23532.69921875</v>
      </c>
      <c r="D186" s="46">
        <v>-0.14468910501114229</v>
      </c>
      <c r="E186" s="46">
        <v>-2.5488443027341431E-2</v>
      </c>
    </row>
    <row r="187" spans="1:5" x14ac:dyDescent="0.3">
      <c r="A187" s="78">
        <v>45614</v>
      </c>
      <c r="B187">
        <v>4785.63427734375</v>
      </c>
      <c r="C187">
        <v>23907.25</v>
      </c>
      <c r="D187" s="46">
        <v>-1.368089222772639E-2</v>
      </c>
      <c r="E187" s="46">
        <v>1.591618444481591E-2</v>
      </c>
    </row>
    <row r="188" spans="1:5" x14ac:dyDescent="0.3">
      <c r="A188" s="78">
        <v>45621</v>
      </c>
      <c r="B188">
        <v>4877.2333984375</v>
      </c>
      <c r="C188">
        <v>24131.099609375</v>
      </c>
      <c r="D188" s="46">
        <v>1.9140434848396341E-2</v>
      </c>
      <c r="E188" s="46">
        <v>9.3632521254012335E-3</v>
      </c>
    </row>
    <row r="189" spans="1:5" x14ac:dyDescent="0.3">
      <c r="A189" s="78">
        <v>45628</v>
      </c>
      <c r="B189">
        <v>4807.84326171875</v>
      </c>
      <c r="C189">
        <v>24677.80078125</v>
      </c>
      <c r="D189" s="46">
        <v>-1.4227356177168081E-2</v>
      </c>
      <c r="E189" s="46">
        <v>2.2655460411037609E-2</v>
      </c>
    </row>
    <row r="190" spans="1:5" x14ac:dyDescent="0.3">
      <c r="A190" s="78">
        <v>45635</v>
      </c>
      <c r="B190">
        <v>4787.361328125</v>
      </c>
      <c r="C190">
        <v>24768.30078125</v>
      </c>
      <c r="D190" s="46">
        <v>-4.2601084267518408E-3</v>
      </c>
      <c r="E190" s="46">
        <v>3.667263578396307E-3</v>
      </c>
    </row>
    <row r="191" spans="1:5" x14ac:dyDescent="0.3">
      <c r="A191" s="78">
        <v>45642</v>
      </c>
      <c r="B191">
        <v>4637.32763671875</v>
      </c>
      <c r="C191">
        <v>23587.5</v>
      </c>
      <c r="D191" s="46">
        <v>-3.1339537821142849E-2</v>
      </c>
      <c r="E191" s="46">
        <v>-4.7673871198458888E-2</v>
      </c>
    </row>
    <row r="192" spans="1:5" x14ac:dyDescent="0.3">
      <c r="A192" s="78">
        <v>45649</v>
      </c>
      <c r="B192">
        <v>4707.6064453125</v>
      </c>
      <c r="C192">
        <v>23813.400390625</v>
      </c>
      <c r="D192" s="46">
        <v>1.515502334518626E-2</v>
      </c>
      <c r="E192" s="46">
        <v>9.5771230789614137E-3</v>
      </c>
    </row>
    <row r="193" spans="1:5" x14ac:dyDescent="0.3">
      <c r="A193" s="78">
        <v>45656</v>
      </c>
      <c r="B193">
        <v>4771.568359375</v>
      </c>
      <c r="C193">
        <v>24004.75</v>
      </c>
      <c r="D193" s="46">
        <v>1.3586928900182199E-2</v>
      </c>
      <c r="E193" s="46">
        <v>8.0353753028203911E-3</v>
      </c>
    </row>
    <row r="194" spans="1:5" x14ac:dyDescent="0.3">
      <c r="A194" s="78">
        <v>45663</v>
      </c>
      <c r="B194">
        <v>4875.30908203125</v>
      </c>
      <c r="C194">
        <v>23431.5</v>
      </c>
      <c r="D194" s="46">
        <v>2.1741430666590841E-2</v>
      </c>
      <c r="E194" s="46">
        <v>-2.3880690280048689E-2</v>
      </c>
    </row>
    <row r="195" spans="1:5" x14ac:dyDescent="0.3">
      <c r="A195" s="78">
        <v>45670</v>
      </c>
      <c r="B195">
        <v>4791.60595703125</v>
      </c>
      <c r="C195">
        <v>23203.19921875</v>
      </c>
      <c r="D195" s="46">
        <v>-1.7168783269249869E-2</v>
      </c>
      <c r="E195" s="46">
        <v>-9.7433276252053558E-3</v>
      </c>
    </row>
    <row r="196" spans="1:5" x14ac:dyDescent="0.3">
      <c r="A196" s="78">
        <v>45677</v>
      </c>
      <c r="B196">
        <v>5035.55859375</v>
      </c>
      <c r="C196">
        <v>23092.19921875</v>
      </c>
      <c r="D196" s="46">
        <v>5.0912499672635107E-2</v>
      </c>
      <c r="E196" s="46">
        <v>-4.7838230820473893E-3</v>
      </c>
    </row>
    <row r="197" spans="1:5" x14ac:dyDescent="0.3">
      <c r="A197" s="78">
        <v>45684</v>
      </c>
      <c r="B197">
        <v>5134.06787109375</v>
      </c>
      <c r="C197">
        <v>23482.150390625</v>
      </c>
      <c r="D197" s="46">
        <v>1.9562730829111311E-2</v>
      </c>
      <c r="E197" s="46">
        <v>1.688670568710382E-2</v>
      </c>
    </row>
    <row r="198" spans="1:5" x14ac:dyDescent="0.3">
      <c r="A198" s="78">
        <v>45691</v>
      </c>
      <c r="B198">
        <v>4807.49755859375</v>
      </c>
      <c r="C198">
        <v>23559.94921875</v>
      </c>
      <c r="D198" s="46">
        <v>-6.360849149242509E-2</v>
      </c>
      <c r="E198" s="46">
        <v>3.313104925691146E-3</v>
      </c>
    </row>
    <row r="199" spans="1:5" x14ac:dyDescent="0.3">
      <c r="A199" s="78">
        <v>45698</v>
      </c>
      <c r="B199">
        <v>4875.7529296875</v>
      </c>
      <c r="C199">
        <v>22929.25</v>
      </c>
      <c r="D199" s="46">
        <v>1.4197692304957821E-2</v>
      </c>
      <c r="E199" s="46">
        <v>-2.6769973606227571E-2</v>
      </c>
    </row>
    <row r="200" spans="1:5" x14ac:dyDescent="0.3">
      <c r="A200" s="78">
        <v>45705</v>
      </c>
      <c r="B200">
        <v>4769.39697265625</v>
      </c>
      <c r="C200">
        <v>22795.900390625</v>
      </c>
      <c r="D200" s="46">
        <v>-2.1813237578891531E-2</v>
      </c>
      <c r="E200" s="46">
        <v>-5.8156986981693359E-3</v>
      </c>
    </row>
    <row r="201" spans="1:5" x14ac:dyDescent="0.3">
      <c r="A201" s="78">
        <v>45712</v>
      </c>
      <c r="B201">
        <v>4536.005859375</v>
      </c>
      <c r="C201">
        <v>22124.69921875</v>
      </c>
      <c r="D201" s="46">
        <v>-4.8935140987282133E-2</v>
      </c>
      <c r="E201" s="46">
        <v>-2.9443942128780209E-2</v>
      </c>
    </row>
    <row r="202" spans="1:5" x14ac:dyDescent="0.3">
      <c r="A202" s="78">
        <v>45719</v>
      </c>
      <c r="B202">
        <v>4686.8291015625</v>
      </c>
      <c r="C202">
        <v>22552.5</v>
      </c>
      <c r="D202" s="46">
        <v>3.3250230899896087E-2</v>
      </c>
      <c r="E202" s="46">
        <v>1.9335891395416249E-2</v>
      </c>
    </row>
    <row r="203" spans="1:5" x14ac:dyDescent="0.3">
      <c r="A203" s="78">
        <v>45726</v>
      </c>
      <c r="B203">
        <v>4667.08740234375</v>
      </c>
      <c r="C203">
        <v>22397.19921875</v>
      </c>
      <c r="D203" s="46">
        <v>-4.2121653661680858E-3</v>
      </c>
      <c r="E203" s="46">
        <v>-6.8861891697150623E-3</v>
      </c>
    </row>
    <row r="204" spans="1:5" x14ac:dyDescent="0.3">
      <c r="A204" s="78">
        <v>45733</v>
      </c>
      <c r="B204">
        <v>4751.728515625</v>
      </c>
      <c r="C204">
        <v>23350.400390625</v>
      </c>
      <c r="D204" s="46">
        <v>1.8135746341228609E-2</v>
      </c>
      <c r="E204" s="46">
        <v>4.2558945096895062E-2</v>
      </c>
    </row>
    <row r="205" spans="1:5" x14ac:dyDescent="0.3">
      <c r="A205" s="78">
        <v>45740</v>
      </c>
      <c r="B205">
        <v>4873.03857421875</v>
      </c>
      <c r="C205">
        <v>23519.349609375</v>
      </c>
      <c r="D205" s="46">
        <v>2.5529669507601049E-2</v>
      </c>
      <c r="E205" s="46">
        <v>7.2353885125597817E-3</v>
      </c>
    </row>
    <row r="206" spans="1:5" x14ac:dyDescent="0.3">
      <c r="A206" s="78">
        <v>45747</v>
      </c>
      <c r="B206">
        <v>4958.41943359375</v>
      </c>
      <c r="C206">
        <v>22904.44921875</v>
      </c>
      <c r="D206" s="46">
        <v>1.7521071929681661E-2</v>
      </c>
      <c r="E206" s="46">
        <v>-2.614444705477292E-2</v>
      </c>
    </row>
    <row r="207" spans="1:5" x14ac:dyDescent="0.3">
      <c r="A207" s="78">
        <v>45754</v>
      </c>
      <c r="B207">
        <v>5280.99267578125</v>
      </c>
      <c r="C207">
        <v>22828.55078125</v>
      </c>
      <c r="D207" s="46">
        <v>6.505565866454055E-2</v>
      </c>
      <c r="E207" s="46">
        <v>-3.3136984336592512E-3</v>
      </c>
    </row>
    <row r="208" spans="1:5" x14ac:dyDescent="0.3">
      <c r="A208" s="78">
        <v>45761</v>
      </c>
      <c r="B208">
        <v>5384.0419921875</v>
      </c>
      <c r="C208">
        <v>23851.650390625</v>
      </c>
      <c r="D208" s="46">
        <v>1.9513247363291519E-2</v>
      </c>
      <c r="E208" s="46">
        <v>4.4816669230502093E-2</v>
      </c>
    </row>
    <row r="209" spans="1:5" x14ac:dyDescent="0.3">
      <c r="A209" s="78">
        <v>45768</v>
      </c>
      <c r="B209">
        <v>5350.3828125</v>
      </c>
      <c r="C209">
        <v>24039.349609375</v>
      </c>
      <c r="D209" s="46">
        <v>-6.251656234542935E-3</v>
      </c>
      <c r="E209" s="46">
        <v>7.8694436517390276E-3</v>
      </c>
    </row>
    <row r="210" spans="1:5" x14ac:dyDescent="0.3">
      <c r="A210" s="78">
        <v>45775</v>
      </c>
      <c r="B210">
        <v>5232.4287109375</v>
      </c>
      <c r="C210">
        <v>24346.69921875</v>
      </c>
      <c r="D210" s="46">
        <v>-2.2045918151300529E-2</v>
      </c>
      <c r="E210" s="46">
        <v>1.278527141412922E-2</v>
      </c>
    </row>
    <row r="211" spans="1:5" x14ac:dyDescent="0.3">
      <c r="A211" s="78">
        <v>45782</v>
      </c>
      <c r="B211">
        <v>5365.6826171875</v>
      </c>
      <c r="C211">
        <v>24008</v>
      </c>
      <c r="D211" s="46">
        <v>2.5466932014086559E-2</v>
      </c>
      <c r="E211" s="46">
        <v>-1.391150462355728E-2</v>
      </c>
    </row>
    <row r="212" spans="1:5" x14ac:dyDescent="0.3">
      <c r="A212" s="78">
        <v>45789</v>
      </c>
      <c r="B212">
        <v>5430.33544921875</v>
      </c>
      <c r="C212">
        <v>25019.80078125</v>
      </c>
      <c r="D212" s="46">
        <v>1.2049320961353921E-2</v>
      </c>
      <c r="E212" s="46">
        <v>4.2144317779490237E-2</v>
      </c>
    </row>
    <row r="213" spans="1:5" x14ac:dyDescent="0.3">
      <c r="A213" s="78">
        <v>45796</v>
      </c>
      <c r="B213">
        <v>5415.529296875</v>
      </c>
      <c r="C213">
        <v>24853.150390625</v>
      </c>
      <c r="D213" s="46">
        <v>-2.726563116074221E-3</v>
      </c>
      <c r="E213" s="46">
        <v>-6.6607401106841824E-3</v>
      </c>
    </row>
    <row r="214" spans="1:5" x14ac:dyDescent="0.3">
      <c r="A214" s="78">
        <v>45803</v>
      </c>
      <c r="B214">
        <v>5439.21875</v>
      </c>
      <c r="C214">
        <v>24750.69921875</v>
      </c>
      <c r="D214" s="46">
        <v>4.374356009609226E-3</v>
      </c>
      <c r="E214" s="46">
        <v>-4.1222609715364511E-3</v>
      </c>
    </row>
    <row r="215" spans="1:5" x14ac:dyDescent="0.3">
      <c r="A215" s="78">
        <v>45810</v>
      </c>
      <c r="B215">
        <v>5534.9638671875</v>
      </c>
      <c r="C215">
        <v>25003.05078125</v>
      </c>
      <c r="D215" s="46">
        <v>1.7602733331418149E-2</v>
      </c>
      <c r="E215" s="46">
        <v>1.0195734684894431E-2</v>
      </c>
    </row>
    <row r="216" spans="1:5" x14ac:dyDescent="0.3">
      <c r="A216" s="78">
        <v>45817</v>
      </c>
      <c r="B216">
        <v>5497.94921875</v>
      </c>
      <c r="C216">
        <v>24718.599609375</v>
      </c>
      <c r="D216" s="46">
        <v>-6.6874236807454857E-3</v>
      </c>
      <c r="E216" s="46">
        <v>-1.1376658567134211E-2</v>
      </c>
    </row>
    <row r="217" spans="1:5" x14ac:dyDescent="0.3">
      <c r="A217" s="78">
        <v>45824</v>
      </c>
      <c r="B217">
        <v>5514.7294921875</v>
      </c>
      <c r="C217">
        <v>25112.400390625</v>
      </c>
      <c r="D217" s="46">
        <v>3.0520968400860049E-3</v>
      </c>
      <c r="E217" s="46">
        <v>1.5931354828881309E-2</v>
      </c>
    </row>
    <row r="218" spans="1:5" x14ac:dyDescent="0.3">
      <c r="A218" s="78">
        <v>45831</v>
      </c>
      <c r="B218">
        <v>5719.544921875</v>
      </c>
      <c r="C218">
        <v>25637.80078125</v>
      </c>
      <c r="D218" s="46">
        <v>3.713970557896884E-2</v>
      </c>
      <c r="E218" s="46">
        <v>2.092195020995069E-2</v>
      </c>
    </row>
    <row r="219" spans="1:5" x14ac:dyDescent="0.3">
      <c r="A219" s="78">
        <v>45838</v>
      </c>
      <c r="B219">
        <v>5696.8427734375</v>
      </c>
      <c r="C219">
        <v>25461</v>
      </c>
      <c r="D219" s="46">
        <v>-3.9692228573419142E-3</v>
      </c>
      <c r="E219" s="46">
        <v>-6.896097787736255E-3</v>
      </c>
    </row>
    <row r="220" spans="1:5" x14ac:dyDescent="0.3">
      <c r="A220" s="78">
        <v>45845</v>
      </c>
      <c r="B220">
        <v>5684.0107421875</v>
      </c>
      <c r="C220">
        <v>25149.849609375</v>
      </c>
      <c r="D220" s="46">
        <v>-2.252481200610168E-3</v>
      </c>
      <c r="E220" s="46">
        <v>-1.2220666534111021E-2</v>
      </c>
    </row>
    <row r="221" spans="1:5" x14ac:dyDescent="0.3">
      <c r="A221" s="78">
        <v>45852</v>
      </c>
      <c r="B221">
        <v>5661.30810546875</v>
      </c>
      <c r="C221">
        <v>24968.400390625</v>
      </c>
      <c r="D221" s="46">
        <v>-3.994122767968733E-3</v>
      </c>
      <c r="E221" s="46">
        <v>-7.2147238082235221E-3</v>
      </c>
    </row>
    <row r="222" spans="1:5" x14ac:dyDescent="0.3">
      <c r="A222" s="78">
        <v>45859</v>
      </c>
      <c r="B222">
        <v>5521.638671875</v>
      </c>
      <c r="C222">
        <v>24837</v>
      </c>
      <c r="D222" s="46">
        <v>-2.467087658748535E-2</v>
      </c>
      <c r="E222" s="46">
        <v>-5.2626675545597301E-3</v>
      </c>
    </row>
    <row r="223" spans="1:5" x14ac:dyDescent="0.3">
      <c r="A223" s="78">
        <v>45866</v>
      </c>
      <c r="B223">
        <v>5723</v>
      </c>
      <c r="C223">
        <v>24565.349609375</v>
      </c>
      <c r="D223" s="46">
        <v>3.6467675646842501E-2</v>
      </c>
      <c r="E223" s="46">
        <v>-1.093732699702055E-2</v>
      </c>
    </row>
    <row r="224" spans="1:5" x14ac:dyDescent="0.3">
      <c r="A224" s="78">
        <v>45873</v>
      </c>
      <c r="B224">
        <v>5317.31640625</v>
      </c>
      <c r="C224">
        <v>24363.30078125</v>
      </c>
      <c r="D224" s="46">
        <v>-7.0886526952647189E-2</v>
      </c>
      <c r="E224" s="46">
        <v>-8.2249522737462E-3</v>
      </c>
    </row>
    <row r="225" spans="1:5" x14ac:dyDescent="0.3">
      <c r="A225" s="78">
        <v>45880</v>
      </c>
      <c r="B225">
        <v>5302.5</v>
      </c>
      <c r="C225">
        <v>24631.30078125</v>
      </c>
      <c r="D225" s="46">
        <v>-2.786444348616302E-3</v>
      </c>
      <c r="E225" s="46">
        <v>1.100015151502998E-2</v>
      </c>
    </row>
    <row r="226" spans="1:5" x14ac:dyDescent="0.3">
      <c r="A226" s="78">
        <v>45887</v>
      </c>
      <c r="B226">
        <v>5545.5</v>
      </c>
      <c r="C226">
        <v>24870.099609375</v>
      </c>
      <c r="D226" s="46">
        <v>4.58274398868459E-2</v>
      </c>
      <c r="E226" s="46">
        <v>9.6949337043044093E-3</v>
      </c>
    </row>
    <row r="227" spans="1:5" x14ac:dyDescent="0.3">
      <c r="A227" s="78">
        <v>45894</v>
      </c>
      <c r="B227">
        <v>5824</v>
      </c>
      <c r="C227">
        <v>24426.849609375</v>
      </c>
      <c r="D227" s="46">
        <v>5.0220899828689942E-2</v>
      </c>
      <c r="E227" s="46">
        <v>-1.7822606542070799E-2</v>
      </c>
    </row>
    <row r="228" spans="1:5" x14ac:dyDescent="0.3">
      <c r="A228" s="78">
        <v>45901</v>
      </c>
      <c r="B228">
        <v>6076</v>
      </c>
      <c r="C228">
        <v>24741</v>
      </c>
      <c r="D228" s="46">
        <v>4.3269230769230838E-2</v>
      </c>
      <c r="E228" s="46">
        <v>1.286086399387454E-2</v>
      </c>
    </row>
    <row r="229" spans="1:5" x14ac:dyDescent="0.3">
      <c r="A229" s="78">
        <v>45908</v>
      </c>
      <c r="B229">
        <v>6247</v>
      </c>
      <c r="C229">
        <v>25114</v>
      </c>
      <c r="D229" s="46">
        <v>2.8143515470704369E-2</v>
      </c>
      <c r="E229" s="46">
        <v>1.5076189321369339E-2</v>
      </c>
    </row>
    <row r="230" spans="1:5" x14ac:dyDescent="0.3">
      <c r="A230" s="78">
        <v>45915</v>
      </c>
      <c r="B230">
        <v>6069.5</v>
      </c>
      <c r="C230">
        <v>25327.05078125</v>
      </c>
      <c r="D230" s="46">
        <v>-2.8413638546502359E-2</v>
      </c>
      <c r="E230" s="46">
        <v>8.483347186827972E-3</v>
      </c>
    </row>
    <row r="231" spans="1:5" x14ac:dyDescent="0.3">
      <c r="A231" s="78">
        <v>45922</v>
      </c>
      <c r="B231">
        <v>5920.5</v>
      </c>
      <c r="C231">
        <v>24654.69921875</v>
      </c>
      <c r="D231" s="46">
        <v>-2.4548974380097181E-2</v>
      </c>
      <c r="E231" s="46">
        <v>-2.6546776737138011E-2</v>
      </c>
    </row>
    <row r="232" spans="1:5" x14ac:dyDescent="0.3">
      <c r="A232" s="78">
        <v>45929</v>
      </c>
      <c r="B232">
        <v>5992.5</v>
      </c>
      <c r="C232">
        <v>24894.25</v>
      </c>
      <c r="D232" s="46">
        <v>1.2161135039270301E-2</v>
      </c>
      <c r="E232" s="46">
        <v>9.7162321521173656E-3</v>
      </c>
    </row>
    <row r="233" spans="1:5" x14ac:dyDescent="0.3">
      <c r="A233" s="78">
        <v>45936</v>
      </c>
      <c r="B233">
        <v>5871.5</v>
      </c>
      <c r="C233">
        <v>25285.349609375</v>
      </c>
      <c r="D233" s="46">
        <v>-2.0191906549854029E-2</v>
      </c>
      <c r="E233" s="46">
        <v>1.5710439534229789E-2</v>
      </c>
    </row>
    <row r="234" spans="1:5" x14ac:dyDescent="0.3">
      <c r="A234" s="78">
        <v>45943</v>
      </c>
      <c r="B234">
        <v>6083</v>
      </c>
      <c r="C234">
        <v>25709.849609375</v>
      </c>
      <c r="D234" s="46">
        <v>3.602145959294889E-2</v>
      </c>
      <c r="E234" s="46">
        <v>1.6788377719033409E-2</v>
      </c>
    </row>
    <row r="235" spans="1:5" x14ac:dyDescent="0.3">
      <c r="A235" s="78">
        <v>45950</v>
      </c>
      <c r="B235">
        <v>6053</v>
      </c>
      <c r="C235">
        <v>25795.150390625</v>
      </c>
      <c r="D235" s="46">
        <v>-4.9317770836758701E-3</v>
      </c>
      <c r="E235" s="46">
        <v>3.317824979376605E-3</v>
      </c>
    </row>
    <row r="236" spans="1:5" x14ac:dyDescent="0.3">
      <c r="A236" s="78">
        <v>45957</v>
      </c>
      <c r="B236">
        <v>5836.5</v>
      </c>
      <c r="C236">
        <v>25722.099609375</v>
      </c>
      <c r="D236" s="46">
        <v>-3.5767388072030393E-2</v>
      </c>
      <c r="E236" s="46">
        <v>-2.831957951156205E-3</v>
      </c>
    </row>
    <row r="237" spans="1:5" x14ac:dyDescent="0.3">
      <c r="A237" s="78">
        <v>45964</v>
      </c>
      <c r="B237">
        <v>6157.5</v>
      </c>
      <c r="C237">
        <v>25492.30078125</v>
      </c>
      <c r="D237" s="46">
        <v>5.4998714983294672E-2</v>
      </c>
      <c r="E237" s="46">
        <v>-8.9339063146013364E-3</v>
      </c>
    </row>
    <row r="238" spans="1:5" x14ac:dyDescent="0.3">
      <c r="A238" s="78">
        <v>45971</v>
      </c>
      <c r="B238">
        <v>5803.5</v>
      </c>
      <c r="C238">
        <v>25910.05078125</v>
      </c>
      <c r="D238" s="46">
        <v>-5.7490864799025543E-2</v>
      </c>
      <c r="E238" s="46">
        <v>1.638730076130512E-2</v>
      </c>
    </row>
    <row r="239" spans="1:5" x14ac:dyDescent="0.3">
      <c r="A239" s="78">
        <v>45978</v>
      </c>
      <c r="B239">
        <v>5813</v>
      </c>
      <c r="C239">
        <v>26068.150390625</v>
      </c>
      <c r="D239" s="46">
        <v>1.6369432239164981E-3</v>
      </c>
      <c r="E239" s="46">
        <v>6.1018641263879134E-3</v>
      </c>
    </row>
    <row r="240" spans="1:5" x14ac:dyDescent="0.3">
      <c r="A240" s="78">
        <v>45985</v>
      </c>
      <c r="B240">
        <v>5846</v>
      </c>
      <c r="C240">
        <v>26202.94921875</v>
      </c>
      <c r="D240" s="46">
        <v>5.6769310166866482E-3</v>
      </c>
      <c r="E240" s="46">
        <v>5.1710162057940767E-3</v>
      </c>
    </row>
    <row r="241" spans="1:5" x14ac:dyDescent="0.3">
      <c r="A241" s="78">
        <v>45992</v>
      </c>
      <c r="B241">
        <v>5961</v>
      </c>
      <c r="C241">
        <v>26186.44921875</v>
      </c>
      <c r="D241" s="46">
        <v>1.967157030448163E-2</v>
      </c>
      <c r="E241" s="46">
        <v>-6.2970010979501723E-4</v>
      </c>
    </row>
    <row r="242" spans="1:5" x14ac:dyDescent="0.3">
      <c r="A242" s="78">
        <v>45999</v>
      </c>
      <c r="B242">
        <v>5915.5</v>
      </c>
      <c r="C242">
        <v>26046.94921875</v>
      </c>
      <c r="D242" s="46">
        <v>-7.6329474920315832E-3</v>
      </c>
      <c r="E242" s="46">
        <v>-5.3271827285432671E-3</v>
      </c>
    </row>
    <row r="243" spans="1:5" x14ac:dyDescent="0.3">
      <c r="A243" s="78">
        <v>46006</v>
      </c>
      <c r="B243">
        <v>6103</v>
      </c>
      <c r="C243">
        <v>25966.400390625</v>
      </c>
      <c r="D243" s="46">
        <v>3.1696390837629977E-2</v>
      </c>
      <c r="E243" s="46">
        <v>-3.0924476969846899E-3</v>
      </c>
    </row>
    <row r="244" spans="1:5" x14ac:dyDescent="0.3">
      <c r="A244" s="78">
        <v>46013</v>
      </c>
      <c r="B244">
        <v>6032.5</v>
      </c>
      <c r="C244">
        <v>26042.30078125</v>
      </c>
      <c r="D244" s="46">
        <v>-1.155169588726856E-2</v>
      </c>
      <c r="E244" s="46">
        <v>2.9230231947130481E-3</v>
      </c>
    </row>
    <row r="245" spans="1:5" x14ac:dyDescent="0.3">
      <c r="A245" s="78">
        <v>46020</v>
      </c>
      <c r="B245">
        <v>5984.5</v>
      </c>
      <c r="C245">
        <v>26328.55078125</v>
      </c>
      <c r="D245" s="46">
        <v>-7.9569001243265935E-3</v>
      </c>
      <c r="E245" s="46">
        <v>1.099173235131734E-2</v>
      </c>
    </row>
    <row r="246" spans="1:5" x14ac:dyDescent="0.3">
      <c r="A246" s="78">
        <v>46027</v>
      </c>
      <c r="B246">
        <v>5977.5</v>
      </c>
      <c r="C246">
        <v>25683.30078125</v>
      </c>
      <c r="D246" s="46">
        <v>-1.1696883616008069E-3</v>
      </c>
      <c r="E246" s="46">
        <v>-2.4507615529659851E-2</v>
      </c>
    </row>
    <row r="247" spans="1:5" x14ac:dyDescent="0.3">
      <c r="A247" s="78">
        <v>46034</v>
      </c>
      <c r="B247">
        <v>5898.5</v>
      </c>
      <c r="C247">
        <v>25694.349609375</v>
      </c>
      <c r="D247" s="46">
        <v>-1.321622751986617E-2</v>
      </c>
      <c r="E247" s="46">
        <v>4.3019502123597952E-4</v>
      </c>
    </row>
    <row r="248" spans="1:5" x14ac:dyDescent="0.3">
      <c r="A248" s="78">
        <v>46041</v>
      </c>
      <c r="B248">
        <v>5835</v>
      </c>
      <c r="C248">
        <v>25048.650390625</v>
      </c>
      <c r="D248" s="46">
        <v>-1.0765448842926181E-2</v>
      </c>
      <c r="E248" s="46">
        <v>-2.51300082923448E-2</v>
      </c>
    </row>
    <row r="249" spans="1:5" x14ac:dyDescent="0.3">
      <c r="A249" s="78">
        <v>46048</v>
      </c>
      <c r="B249">
        <v>5757.5</v>
      </c>
      <c r="C249">
        <v>24825.44921875</v>
      </c>
      <c r="D249" s="46">
        <v>-1.32819194515853E-2</v>
      </c>
      <c r="E249" s="46">
        <v>-8.9107065009194075E-3</v>
      </c>
    </row>
    <row r="250" spans="1:5" x14ac:dyDescent="0.3">
      <c r="A250" s="78">
        <v>46055</v>
      </c>
      <c r="B250">
        <v>5911</v>
      </c>
      <c r="C250">
        <v>25693.69921875</v>
      </c>
      <c r="D250" s="46">
        <v>2.6660877116804201E-2</v>
      </c>
      <c r="E250" s="46">
        <v>3.4974190893763753E-2</v>
      </c>
    </row>
    <row r="251" spans="1:5" x14ac:dyDescent="0.3">
      <c r="A251" s="78">
        <v>46062</v>
      </c>
      <c r="B251">
        <v>5980.5</v>
      </c>
      <c r="C251">
        <v>25471.099609375</v>
      </c>
      <c r="D251" s="46">
        <v>1.1757739807139121E-2</v>
      </c>
      <c r="E251" s="46">
        <v>-8.6635874219527231E-3</v>
      </c>
    </row>
    <row r="252" spans="1:5" x14ac:dyDescent="0.3">
      <c r="A252" s="78">
        <v>46069</v>
      </c>
      <c r="B252">
        <v>6098.5</v>
      </c>
      <c r="C252">
        <v>25571.25</v>
      </c>
      <c r="D252" s="46">
        <v>1.973079173982106E-2</v>
      </c>
      <c r="E252" s="46">
        <v>3.9319225381277967E-3</v>
      </c>
    </row>
    <row r="253" spans="1:5" x14ac:dyDescent="0.3">
      <c r="A253" s="78">
        <v>46076</v>
      </c>
      <c r="B253">
        <v>6002.5</v>
      </c>
      <c r="C253">
        <v>25178.650390625</v>
      </c>
      <c r="D253" s="46">
        <v>-1.574157579732716E-2</v>
      </c>
      <c r="E253" s="46">
        <v>-1.535316456469671E-2</v>
      </c>
    </row>
    <row r="254" spans="1:5" x14ac:dyDescent="0.3">
      <c r="A254" s="78">
        <v>46083</v>
      </c>
      <c r="B254">
        <v>5983</v>
      </c>
      <c r="C254">
        <v>24450.44921875</v>
      </c>
      <c r="D254" s="46">
        <v>-3.2486463973344648E-3</v>
      </c>
      <c r="E254" s="46">
        <v>-2.8921374282480872E-2</v>
      </c>
    </row>
    <row r="255" spans="1:5" x14ac:dyDescent="0.3">
      <c r="A255" s="78">
        <v>46090</v>
      </c>
      <c r="B255">
        <v>5808.5</v>
      </c>
      <c r="C255">
        <v>23151.099609375</v>
      </c>
      <c r="D255" s="46">
        <v>-2.9165970249039001E-2</v>
      </c>
      <c r="E255" s="46">
        <v>-5.3142156929312567E-2</v>
      </c>
    </row>
    <row r="256" spans="1:5" x14ac:dyDescent="0.3">
      <c r="A256" s="78">
        <v>46097</v>
      </c>
      <c r="B256">
        <v>5618.5</v>
      </c>
      <c r="C256">
        <v>23114.5</v>
      </c>
      <c r="D256" s="46">
        <v>-3.271068262029786E-2</v>
      </c>
      <c r="E256" s="46">
        <v>-1.580901555111369E-3</v>
      </c>
    </row>
    <row r="257" spans="1:5" x14ac:dyDescent="0.3">
      <c r="A257" s="78">
        <v>46104</v>
      </c>
      <c r="B257">
        <v>5500</v>
      </c>
      <c r="C257">
        <v>22819.599609375</v>
      </c>
      <c r="D257" s="46">
        <v>-2.1091038533416429E-2</v>
      </c>
      <c r="E257" s="46">
        <v>-1.275824225594324E-2</v>
      </c>
    </row>
    <row r="258" spans="1:5" x14ac:dyDescent="0.3">
      <c r="A258" s="78">
        <v>46111</v>
      </c>
      <c r="B258">
        <v>5442</v>
      </c>
      <c r="C258">
        <v>22713.099609375</v>
      </c>
      <c r="D258" s="46">
        <v>-1.0545454545454519E-2</v>
      </c>
      <c r="E258" s="46">
        <v>-4.6670406940990672E-3</v>
      </c>
    </row>
    <row r="259" spans="1:5" x14ac:dyDescent="0.3">
      <c r="A259" s="78">
        <v>46118</v>
      </c>
      <c r="B259">
        <v>5557.5</v>
      </c>
      <c r="C259">
        <v>24050.599609375</v>
      </c>
      <c r="D259" s="46">
        <v>2.1223814773980051E-2</v>
      </c>
      <c r="E259" s="46">
        <v>5.888672277243634E-2</v>
      </c>
    </row>
    <row r="260" spans="1:5" x14ac:dyDescent="0.3">
      <c r="A260" s="78">
        <v>46125</v>
      </c>
      <c r="B260">
        <v>5735.5</v>
      </c>
      <c r="C260">
        <v>24353.55078125</v>
      </c>
      <c r="D260" s="46">
        <v>3.2028789923526757E-2</v>
      </c>
      <c r="E260" s="46">
        <v>1.2596408272370411E-2</v>
      </c>
    </row>
    <row r="261" spans="1:5" x14ac:dyDescent="0.3">
      <c r="A261" s="78">
        <v>46132</v>
      </c>
      <c r="B261">
        <v>5730.5</v>
      </c>
      <c r="C261">
        <v>23897.94921875</v>
      </c>
      <c r="D261" s="46">
        <v>-8.7176357771767687E-4</v>
      </c>
      <c r="E261" s="46">
        <v>-1.8707808425651451E-2</v>
      </c>
    </row>
    <row r="262" spans="1:5" x14ac:dyDescent="0.3">
      <c r="A262" s="78">
        <v>46139</v>
      </c>
      <c r="B262">
        <v>5726</v>
      </c>
      <c r="C262">
        <v>23997.55078125</v>
      </c>
      <c r="D262" s="46">
        <v>-7.8527179129217473E-4</v>
      </c>
      <c r="E262" s="46">
        <v>4.1677870175509391E-3</v>
      </c>
    </row>
    <row r="263" spans="1:5" x14ac:dyDescent="0.3">
      <c r="A263" s="78">
        <v>46146</v>
      </c>
      <c r="B263">
        <v>5520</v>
      </c>
      <c r="C263">
        <v>24176.150390625</v>
      </c>
      <c r="D263" s="46">
        <v>-3.597624869018512E-2</v>
      </c>
      <c r="E263" s="46">
        <v>7.442409894369062E-3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22EA-0745-4DFF-86E1-A9E72CD29865}">
  <dimension ref="A1:L263"/>
  <sheetViews>
    <sheetView zoomScale="109" workbookViewId="0">
      <selection activeCell="H10" sqref="H10"/>
    </sheetView>
  </sheetViews>
  <sheetFormatPr defaultRowHeight="14.4" x14ac:dyDescent="0.3"/>
  <cols>
    <col min="1" max="4" width="14.44140625" customWidth="1"/>
    <col min="7" max="7" width="12.6640625" customWidth="1"/>
    <col min="8" max="8" width="10.33203125" customWidth="1"/>
  </cols>
  <sheetData>
    <row r="1" spans="1:12" s="76" customFormat="1" ht="32.4" x14ac:dyDescent="0.6">
      <c r="A1" s="42" t="s">
        <v>155</v>
      </c>
      <c r="B1" s="43"/>
      <c r="C1" s="43"/>
      <c r="D1" s="16"/>
      <c r="E1" s="16"/>
      <c r="F1" s="16"/>
      <c r="G1" s="16"/>
      <c r="H1" s="16"/>
      <c r="I1" s="16"/>
      <c r="J1" s="16"/>
      <c r="K1" s="75"/>
      <c r="L1" s="75"/>
    </row>
    <row r="2" spans="1:12" s="76" customFormat="1" ht="23.4" x14ac:dyDescent="0.45">
      <c r="A2" s="44" t="s">
        <v>296</v>
      </c>
      <c r="B2" s="45"/>
      <c r="C2" s="43"/>
      <c r="D2" s="16"/>
      <c r="E2" s="16"/>
      <c r="F2" s="16"/>
      <c r="G2" s="16"/>
      <c r="H2" s="16"/>
      <c r="I2" s="16"/>
      <c r="J2" s="16"/>
      <c r="K2" s="75"/>
      <c r="L2" s="75"/>
    </row>
    <row r="3" spans="1:12" x14ac:dyDescent="0.3">
      <c r="A3" s="77" t="s">
        <v>301</v>
      </c>
      <c r="B3" s="77" t="s">
        <v>297</v>
      </c>
      <c r="C3" s="77" t="s">
        <v>298</v>
      </c>
      <c r="D3" s="77" t="s">
        <v>299</v>
      </c>
      <c r="E3" s="77" t="s">
        <v>300</v>
      </c>
      <c r="F3" s="21"/>
      <c r="G3" s="21"/>
      <c r="H3" s="21"/>
      <c r="I3" s="21"/>
      <c r="J3" s="21"/>
    </row>
    <row r="4" spans="1:12" x14ac:dyDescent="0.3">
      <c r="A4" s="78">
        <v>44333</v>
      </c>
      <c r="B4">
        <v>3223.52392578125</v>
      </c>
      <c r="C4">
        <v>15175.2998046875</v>
      </c>
      <c r="D4" s="46">
        <v>-1.8763694130196851E-2</v>
      </c>
      <c r="E4" s="46">
        <v>3.3894725818587552E-2</v>
      </c>
    </row>
    <row r="5" spans="1:12" x14ac:dyDescent="0.3">
      <c r="A5" s="78">
        <v>44340</v>
      </c>
      <c r="B5">
        <v>3211.983642578125</v>
      </c>
      <c r="C5">
        <v>15435.650390625</v>
      </c>
      <c r="D5" s="46">
        <v>-3.5800209549641249E-3</v>
      </c>
      <c r="E5" s="46">
        <v>1.7156207079156442E-2</v>
      </c>
    </row>
    <row r="6" spans="1:12" x14ac:dyDescent="0.3">
      <c r="A6" s="78">
        <v>44347</v>
      </c>
      <c r="B6">
        <v>3285.92138671875</v>
      </c>
      <c r="C6">
        <v>15670.25</v>
      </c>
      <c r="D6" s="46">
        <v>2.3019340186078319E-2</v>
      </c>
      <c r="E6" s="46">
        <v>1.5198556810893221E-2</v>
      </c>
    </row>
    <row r="7" spans="1:12" x14ac:dyDescent="0.3">
      <c r="A7" s="78">
        <v>44354</v>
      </c>
      <c r="B7">
        <v>3350.522705078125</v>
      </c>
      <c r="C7">
        <v>15799.349609375</v>
      </c>
      <c r="D7" s="46">
        <v>1.9660031618676129E-2</v>
      </c>
      <c r="E7" s="46">
        <v>8.2385162569200698E-3</v>
      </c>
      <c r="G7" s="81" t="s">
        <v>302</v>
      </c>
      <c r="H7" s="79">
        <v>5</v>
      </c>
    </row>
    <row r="8" spans="1:12" x14ac:dyDescent="0.3">
      <c r="A8" s="78">
        <v>44361</v>
      </c>
      <c r="B8">
        <v>3408.25</v>
      </c>
      <c r="C8">
        <v>15683.349609375</v>
      </c>
      <c r="D8" s="46">
        <v>1.7229340017419489E-2</v>
      </c>
      <c r="E8" s="46">
        <v>-7.3420743807813826E-3</v>
      </c>
      <c r="G8" s="81" t="s">
        <v>303</v>
      </c>
      <c r="H8" s="79" t="s">
        <v>304</v>
      </c>
    </row>
    <row r="9" spans="1:12" x14ac:dyDescent="0.3">
      <c r="A9" s="78">
        <v>44368</v>
      </c>
      <c r="B9">
        <v>3456.13623046875</v>
      </c>
      <c r="C9">
        <v>15860.349609375</v>
      </c>
      <c r="D9" s="46">
        <v>1.405009329384588E-2</v>
      </c>
      <c r="E9" s="46">
        <v>1.128585438752161E-2</v>
      </c>
      <c r="G9" s="81" t="s">
        <v>296</v>
      </c>
      <c r="H9" s="80">
        <f>_xlfn.RRI(H7,B4,B263)</f>
        <v>0.11358054764001646</v>
      </c>
    </row>
    <row r="10" spans="1:12" x14ac:dyDescent="0.3">
      <c r="A10" s="78">
        <v>44375</v>
      </c>
      <c r="B10">
        <v>3338.6572265625</v>
      </c>
      <c r="C10">
        <v>15722.2001953125</v>
      </c>
      <c r="D10" s="46">
        <v>-3.3991427441596112E-2</v>
      </c>
      <c r="E10" s="46">
        <v>-8.7103637350365304E-3</v>
      </c>
      <c r="G10" s="81" t="s">
        <v>294</v>
      </c>
      <c r="H10" s="79">
        <f>SLOPE(D4:D263,E4:E263)</f>
        <v>0.52392003642246288</v>
      </c>
    </row>
    <row r="11" spans="1:12" x14ac:dyDescent="0.3">
      <c r="A11" s="78">
        <v>44382</v>
      </c>
      <c r="B11">
        <v>3273.349609375</v>
      </c>
      <c r="C11">
        <v>15689.7998046875</v>
      </c>
      <c r="D11" s="46">
        <v>-1.956104288511851E-2</v>
      </c>
      <c r="E11" s="46">
        <v>-2.060805117763409E-3</v>
      </c>
    </row>
    <row r="12" spans="1:12" x14ac:dyDescent="0.3">
      <c r="A12" s="78">
        <v>44389</v>
      </c>
      <c r="B12">
        <v>3240.4365234375</v>
      </c>
      <c r="C12">
        <v>15923.400390625</v>
      </c>
      <c r="D12" s="46">
        <v>-1.005486424158164E-2</v>
      </c>
      <c r="E12" s="46">
        <v>1.488869130552639E-2</v>
      </c>
    </row>
    <row r="13" spans="1:12" x14ac:dyDescent="0.3">
      <c r="A13" s="78">
        <v>44396</v>
      </c>
      <c r="B13">
        <v>3239.306640625</v>
      </c>
      <c r="C13">
        <v>15856.0498046875</v>
      </c>
      <c r="D13" s="46">
        <v>-3.4868228534268297E-4</v>
      </c>
      <c r="E13" s="46">
        <v>-4.229661019963582E-3</v>
      </c>
    </row>
    <row r="14" spans="1:12" x14ac:dyDescent="0.3">
      <c r="A14" s="78">
        <v>44403</v>
      </c>
      <c r="B14">
        <v>3223.8623046875</v>
      </c>
      <c r="C14">
        <v>15763.0498046875</v>
      </c>
      <c r="D14" s="46">
        <v>-4.767790657361215E-3</v>
      </c>
      <c r="E14" s="46">
        <v>-5.865269165117426E-3</v>
      </c>
    </row>
    <row r="15" spans="1:12" x14ac:dyDescent="0.3">
      <c r="A15" s="78">
        <v>44410</v>
      </c>
      <c r="B15">
        <v>3393.93603515625</v>
      </c>
      <c r="C15">
        <v>16238.2001953125</v>
      </c>
      <c r="D15" s="46">
        <v>5.2754650910946888E-2</v>
      </c>
      <c r="E15" s="46">
        <v>3.0143303263794999E-2</v>
      </c>
    </row>
    <row r="16" spans="1:12" x14ac:dyDescent="0.3">
      <c r="A16" s="78">
        <v>44417</v>
      </c>
      <c r="B16">
        <v>3370.9111328125</v>
      </c>
      <c r="C16">
        <v>16529.099609375</v>
      </c>
      <c r="D16" s="46">
        <v>-6.7841297258538491E-3</v>
      </c>
      <c r="E16" s="46">
        <v>1.7914510879504689E-2</v>
      </c>
    </row>
    <row r="17" spans="1:5" x14ac:dyDescent="0.3">
      <c r="A17" s="78">
        <v>44424</v>
      </c>
      <c r="B17">
        <v>3668.868896484375</v>
      </c>
      <c r="C17">
        <v>16450.5</v>
      </c>
      <c r="D17" s="46">
        <v>8.8390868798512656E-2</v>
      </c>
      <c r="E17" s="46">
        <v>-4.7552263119292606E-3</v>
      </c>
    </row>
    <row r="18" spans="1:5" x14ac:dyDescent="0.3">
      <c r="A18" s="78">
        <v>44431</v>
      </c>
      <c r="B18">
        <v>3711.811279296875</v>
      </c>
      <c r="C18">
        <v>16705.19921875</v>
      </c>
      <c r="D18" s="46">
        <v>1.1704529113495621E-2</v>
      </c>
      <c r="E18" s="46">
        <v>1.548276458162356E-2</v>
      </c>
    </row>
    <row r="19" spans="1:5" x14ac:dyDescent="0.3">
      <c r="A19" s="78">
        <v>44438</v>
      </c>
      <c r="B19">
        <v>3883.815673828125</v>
      </c>
      <c r="C19">
        <v>17323.599609375</v>
      </c>
      <c r="D19" s="46">
        <v>4.6339746713586427E-2</v>
      </c>
      <c r="E19" s="46">
        <v>3.7018438542828269E-2</v>
      </c>
    </row>
    <row r="20" spans="1:5" x14ac:dyDescent="0.3">
      <c r="A20" s="78">
        <v>44445</v>
      </c>
      <c r="B20">
        <v>3833.52783203125</v>
      </c>
      <c r="C20">
        <v>17369.25</v>
      </c>
      <c r="D20" s="46">
        <v>-1.2948050582253351E-2</v>
      </c>
      <c r="E20" s="46">
        <v>2.6351561831465808E-3</v>
      </c>
    </row>
    <row r="21" spans="1:5" x14ac:dyDescent="0.3">
      <c r="A21" s="78">
        <v>44452</v>
      </c>
      <c r="B21">
        <v>3815.682373046875</v>
      </c>
      <c r="C21">
        <v>17585.150390625</v>
      </c>
      <c r="D21" s="46">
        <v>-4.6551009321664782E-3</v>
      </c>
      <c r="E21" s="46">
        <v>1.243003529945153E-2</v>
      </c>
    </row>
    <row r="22" spans="1:5" x14ac:dyDescent="0.3">
      <c r="A22" s="78">
        <v>44459</v>
      </c>
      <c r="B22">
        <v>3807.253662109375</v>
      </c>
      <c r="C22">
        <v>17853.19921875</v>
      </c>
      <c r="D22" s="46">
        <v>-2.208965556734666E-3</v>
      </c>
      <c r="E22" s="46">
        <v>1.5242907917802251E-2</v>
      </c>
    </row>
    <row r="23" spans="1:5" x14ac:dyDescent="0.3">
      <c r="A23" s="78">
        <v>44466</v>
      </c>
      <c r="B23">
        <v>3692.55322265625</v>
      </c>
      <c r="C23">
        <v>17532.05078125</v>
      </c>
      <c r="D23" s="46">
        <v>-3.0126818340119769E-2</v>
      </c>
      <c r="E23" s="46">
        <v>-1.7988285100337679E-2</v>
      </c>
    </row>
    <row r="24" spans="1:5" x14ac:dyDescent="0.3">
      <c r="A24" s="78">
        <v>44473</v>
      </c>
      <c r="B24">
        <v>3656.95654296875</v>
      </c>
      <c r="C24">
        <v>17895.19921875</v>
      </c>
      <c r="D24" s="46">
        <v>-9.6401263681430427E-3</v>
      </c>
      <c r="E24" s="46">
        <v>2.0713403242498929E-2</v>
      </c>
    </row>
    <row r="25" spans="1:5" x14ac:dyDescent="0.3">
      <c r="A25" s="78">
        <v>44480</v>
      </c>
      <c r="B25">
        <v>3667.83349609375</v>
      </c>
      <c r="C25">
        <v>18338.55078125</v>
      </c>
      <c r="D25" s="46">
        <v>2.9743183976067571E-3</v>
      </c>
      <c r="E25" s="46">
        <v>2.4774888341867252E-2</v>
      </c>
    </row>
    <row r="26" spans="1:5" x14ac:dyDescent="0.3">
      <c r="A26" s="78">
        <v>44487</v>
      </c>
      <c r="B26">
        <v>3474.923095703125</v>
      </c>
      <c r="C26">
        <v>18114.900390625</v>
      </c>
      <c r="D26" s="46">
        <v>-5.2595190211353622E-2</v>
      </c>
      <c r="E26" s="46">
        <v>-1.219564148185948E-2</v>
      </c>
    </row>
    <row r="27" spans="1:5" x14ac:dyDescent="0.3">
      <c r="A27" s="78">
        <v>44494</v>
      </c>
      <c r="B27">
        <v>3461.50390625</v>
      </c>
      <c r="C27">
        <v>17671.650390625</v>
      </c>
      <c r="D27" s="46">
        <v>-3.8617227154518212E-3</v>
      </c>
      <c r="E27" s="46">
        <v>-2.4468806918165331E-2</v>
      </c>
    </row>
    <row r="28" spans="1:5" x14ac:dyDescent="0.3">
      <c r="A28" s="78">
        <v>44501</v>
      </c>
      <c r="B28">
        <v>3418.279296875</v>
      </c>
      <c r="C28">
        <v>17916.80078125</v>
      </c>
      <c r="D28" s="46">
        <v>-1.248723403054808E-2</v>
      </c>
      <c r="E28" s="46">
        <v>1.387252379976101E-2</v>
      </c>
    </row>
    <row r="29" spans="1:5" x14ac:dyDescent="0.3">
      <c r="A29" s="78">
        <v>44508</v>
      </c>
      <c r="B29">
        <v>3472.99267578125</v>
      </c>
      <c r="C29">
        <v>18102.75</v>
      </c>
      <c r="D29" s="46">
        <v>1.6006117158498201E-2</v>
      </c>
      <c r="E29" s="46">
        <v>1.037848335873659E-2</v>
      </c>
    </row>
    <row r="30" spans="1:5" x14ac:dyDescent="0.3">
      <c r="A30" s="78">
        <v>44515</v>
      </c>
      <c r="B30">
        <v>3363.424560546875</v>
      </c>
      <c r="C30">
        <v>17764.80078125</v>
      </c>
      <c r="D30" s="46">
        <v>-3.154861684519028E-2</v>
      </c>
      <c r="E30" s="46">
        <v>-1.8668391197469991E-2</v>
      </c>
    </row>
    <row r="31" spans="1:5" x14ac:dyDescent="0.3">
      <c r="A31" s="78">
        <v>44522</v>
      </c>
      <c r="B31">
        <v>3348.07421875</v>
      </c>
      <c r="C31">
        <v>17026.44921875</v>
      </c>
      <c r="D31" s="46">
        <v>-4.5639025108322739E-3</v>
      </c>
      <c r="E31" s="46">
        <v>-4.1562614272561922E-2</v>
      </c>
    </row>
    <row r="32" spans="1:5" x14ac:dyDescent="0.3">
      <c r="A32" s="78">
        <v>44529</v>
      </c>
      <c r="B32">
        <v>3346.614990234375</v>
      </c>
      <c r="C32">
        <v>17196.69921875</v>
      </c>
      <c r="D32" s="46">
        <v>-4.3584114935479867E-4</v>
      </c>
      <c r="E32" s="46">
        <v>9.9991488426438568E-3</v>
      </c>
    </row>
    <row r="33" spans="1:5" x14ac:dyDescent="0.3">
      <c r="A33" s="78">
        <v>44536</v>
      </c>
      <c r="B33">
        <v>3420.727783203125</v>
      </c>
      <c r="C33">
        <v>17511.30078125</v>
      </c>
      <c r="D33" s="46">
        <v>2.2145598817018271E-2</v>
      </c>
      <c r="E33" s="46">
        <v>1.829429930116944E-2</v>
      </c>
    </row>
    <row r="34" spans="1:5" x14ac:dyDescent="0.3">
      <c r="A34" s="78">
        <v>44543</v>
      </c>
      <c r="B34">
        <v>3330.040283203125</v>
      </c>
      <c r="C34">
        <v>16985.19921875</v>
      </c>
      <c r="D34" s="46">
        <v>-2.6511171232421641E-2</v>
      </c>
      <c r="E34" s="46">
        <v>-3.0043545540792471E-2</v>
      </c>
    </row>
    <row r="35" spans="1:5" x14ac:dyDescent="0.3">
      <c r="A35" s="78">
        <v>44550</v>
      </c>
      <c r="B35">
        <v>3334.890380859375</v>
      </c>
      <c r="C35">
        <v>17003.75</v>
      </c>
      <c r="D35" s="46">
        <v>1.456468163677727E-3</v>
      </c>
      <c r="E35" s="46">
        <v>1.092173309896971E-3</v>
      </c>
    </row>
    <row r="36" spans="1:5" x14ac:dyDescent="0.3">
      <c r="A36" s="78">
        <v>44557</v>
      </c>
      <c r="B36">
        <v>3395.819580078125</v>
      </c>
      <c r="C36">
        <v>17354.05078125</v>
      </c>
      <c r="D36" s="46">
        <v>1.827022548280843E-2</v>
      </c>
      <c r="E36" s="46">
        <v>2.0601383885907602E-2</v>
      </c>
    </row>
    <row r="37" spans="1:5" x14ac:dyDescent="0.3">
      <c r="A37" s="78">
        <v>44564</v>
      </c>
      <c r="B37">
        <v>3519.513671875</v>
      </c>
      <c r="C37">
        <v>17812.69921875</v>
      </c>
      <c r="D37" s="46">
        <v>3.6425401550346681E-2</v>
      </c>
      <c r="E37" s="46">
        <v>2.642889797208281E-2</v>
      </c>
    </row>
    <row r="38" spans="1:5" x14ac:dyDescent="0.3">
      <c r="A38" s="78">
        <v>44571</v>
      </c>
      <c r="B38">
        <v>3495.68798828125</v>
      </c>
      <c r="C38">
        <v>18255.75</v>
      </c>
      <c r="D38" s="46">
        <v>-6.7695954086340882E-3</v>
      </c>
      <c r="E38" s="46">
        <v>2.487274813373808E-2</v>
      </c>
    </row>
    <row r="39" spans="1:5" x14ac:dyDescent="0.3">
      <c r="A39" s="78">
        <v>44578</v>
      </c>
      <c r="B39">
        <v>3407.40234375</v>
      </c>
      <c r="C39">
        <v>17617.150390625</v>
      </c>
      <c r="D39" s="46">
        <v>-2.525558483114454E-2</v>
      </c>
      <c r="E39" s="46">
        <v>-3.4980738089369079E-2</v>
      </c>
    </row>
    <row r="40" spans="1:5" x14ac:dyDescent="0.3">
      <c r="A40" s="78">
        <v>44585</v>
      </c>
      <c r="B40">
        <v>3305.085205078125</v>
      </c>
      <c r="C40">
        <v>17101.94921875</v>
      </c>
      <c r="D40" s="46">
        <v>-3.0027900538235341E-2</v>
      </c>
      <c r="E40" s="46">
        <v>-2.9244296634327701E-2</v>
      </c>
    </row>
    <row r="41" spans="1:5" x14ac:dyDescent="0.3">
      <c r="A41" s="78">
        <v>44592</v>
      </c>
      <c r="B41">
        <v>3354.384033203125</v>
      </c>
      <c r="C41">
        <v>17516.30078125</v>
      </c>
      <c r="D41" s="46">
        <v>1.4916053616183421E-2</v>
      </c>
      <c r="E41" s="46">
        <v>2.4228323754213799E-2</v>
      </c>
    </row>
    <row r="42" spans="1:5" x14ac:dyDescent="0.3">
      <c r="A42" s="78">
        <v>44599</v>
      </c>
      <c r="B42">
        <v>3277.681396484375</v>
      </c>
      <c r="C42">
        <v>17374.75</v>
      </c>
      <c r="D42" s="46">
        <v>-2.2866384993344369E-2</v>
      </c>
      <c r="E42" s="46">
        <v>-8.0810887537122733E-3</v>
      </c>
    </row>
    <row r="43" spans="1:5" x14ac:dyDescent="0.3">
      <c r="A43" s="78">
        <v>44606</v>
      </c>
      <c r="B43">
        <v>3278.71728515625</v>
      </c>
      <c r="C43">
        <v>17276.30078125</v>
      </c>
      <c r="D43" s="46">
        <v>3.1604312517563571E-4</v>
      </c>
      <c r="E43" s="46">
        <v>-5.6662236147282394E-3</v>
      </c>
    </row>
    <row r="44" spans="1:5" x14ac:dyDescent="0.3">
      <c r="A44" s="78">
        <v>44613</v>
      </c>
      <c r="B44">
        <v>3223.250244140625</v>
      </c>
      <c r="C44">
        <v>16658.400390625</v>
      </c>
      <c r="D44" s="46">
        <v>-1.691729911168038E-2</v>
      </c>
      <c r="E44" s="46">
        <v>-3.5765781022729648E-2</v>
      </c>
    </row>
    <row r="45" spans="1:5" x14ac:dyDescent="0.3">
      <c r="A45" s="78">
        <v>44620</v>
      </c>
      <c r="B45">
        <v>3174.84619140625</v>
      </c>
      <c r="C45">
        <v>16245.349609375</v>
      </c>
      <c r="D45" s="46">
        <v>-1.501715630747757E-2</v>
      </c>
      <c r="E45" s="46">
        <v>-2.4795344784872438E-2</v>
      </c>
    </row>
    <row r="46" spans="1:5" x14ac:dyDescent="0.3">
      <c r="A46" s="78">
        <v>44627</v>
      </c>
      <c r="B46">
        <v>3013.389404296875</v>
      </c>
      <c r="C46">
        <v>16630.44921875</v>
      </c>
      <c r="D46" s="46">
        <v>-5.0854994974688927E-2</v>
      </c>
      <c r="E46" s="46">
        <v>2.3705221410117439E-2</v>
      </c>
    </row>
    <row r="47" spans="1:5" x14ac:dyDescent="0.3">
      <c r="A47" s="78">
        <v>44634</v>
      </c>
      <c r="B47">
        <v>3160.343994140625</v>
      </c>
      <c r="C47">
        <v>17287.05078125</v>
      </c>
      <c r="D47" s="46">
        <v>4.8767208656871119E-2</v>
      </c>
      <c r="E47" s="46">
        <v>3.9481889747134069E-2</v>
      </c>
    </row>
    <row r="48" spans="1:5" x14ac:dyDescent="0.3">
      <c r="A48" s="78">
        <v>44641</v>
      </c>
      <c r="B48">
        <v>2914.132568359375</v>
      </c>
      <c r="C48">
        <v>17153</v>
      </c>
      <c r="D48" s="46">
        <v>-7.7906527339344556E-2</v>
      </c>
      <c r="E48" s="46">
        <v>-7.7544043195265644E-3</v>
      </c>
    </row>
    <row r="49" spans="1:5" x14ac:dyDescent="0.3">
      <c r="A49" s="78">
        <v>44648</v>
      </c>
      <c r="B49">
        <v>3042.34716796875</v>
      </c>
      <c r="C49">
        <v>17670.44921875</v>
      </c>
      <c r="D49" s="46">
        <v>4.3997517821077858E-2</v>
      </c>
      <c r="E49" s="46">
        <v>3.0166689136011279E-2</v>
      </c>
    </row>
    <row r="50" spans="1:5" x14ac:dyDescent="0.3">
      <c r="A50" s="78">
        <v>44655</v>
      </c>
      <c r="B50">
        <v>3152.7626953125</v>
      </c>
      <c r="C50">
        <v>17784.349609375</v>
      </c>
      <c r="D50" s="46">
        <v>3.6292875614675417E-2</v>
      </c>
      <c r="E50" s="46">
        <v>6.4458118305301682E-3</v>
      </c>
    </row>
    <row r="51" spans="1:5" x14ac:dyDescent="0.3">
      <c r="A51" s="78">
        <v>44662</v>
      </c>
      <c r="B51">
        <v>3154.4111328125</v>
      </c>
      <c r="C51">
        <v>17475.650390625</v>
      </c>
      <c r="D51" s="46">
        <v>5.2285492417514234E-4</v>
      </c>
      <c r="E51" s="46">
        <v>-1.735791443209533E-2</v>
      </c>
    </row>
    <row r="52" spans="1:5" x14ac:dyDescent="0.3">
      <c r="A52" s="78">
        <v>44669</v>
      </c>
      <c r="B52">
        <v>3168.018798828125</v>
      </c>
      <c r="C52">
        <v>17171.94921875</v>
      </c>
      <c r="D52" s="46">
        <v>4.313853027614778E-3</v>
      </c>
      <c r="E52" s="46">
        <v>-1.7378533278390781E-2</v>
      </c>
    </row>
    <row r="53" spans="1:5" x14ac:dyDescent="0.3">
      <c r="A53" s="78">
        <v>44676</v>
      </c>
      <c r="B53">
        <v>3088.114501953125</v>
      </c>
      <c r="C53">
        <v>17102.55078125</v>
      </c>
      <c r="D53" s="46">
        <v>-2.5222166265098319E-2</v>
      </c>
      <c r="E53" s="46">
        <v>-4.0413838065759267E-3</v>
      </c>
    </row>
    <row r="54" spans="1:5" x14ac:dyDescent="0.3">
      <c r="A54" s="78">
        <v>44683</v>
      </c>
      <c r="B54">
        <v>3115.00048828125</v>
      </c>
      <c r="C54">
        <v>16411.25</v>
      </c>
      <c r="D54" s="46">
        <v>8.7062789644363203E-3</v>
      </c>
      <c r="E54" s="46">
        <v>-4.0420916744646762E-2</v>
      </c>
    </row>
    <row r="55" spans="1:5" x14ac:dyDescent="0.3">
      <c r="A55" s="78">
        <v>44690</v>
      </c>
      <c r="B55">
        <v>3087.407958984375</v>
      </c>
      <c r="C55">
        <v>15782.150390625</v>
      </c>
      <c r="D55" s="46">
        <v>-8.8579534419590544E-3</v>
      </c>
      <c r="E55" s="46">
        <v>-3.8333436476502447E-2</v>
      </c>
    </row>
    <row r="56" spans="1:5" x14ac:dyDescent="0.3">
      <c r="A56" s="78">
        <v>44697</v>
      </c>
      <c r="B56">
        <v>3249.147216796875</v>
      </c>
      <c r="C56">
        <v>16266.150390625</v>
      </c>
      <c r="D56" s="46">
        <v>5.2386746410314038E-2</v>
      </c>
      <c r="E56" s="46">
        <v>3.0667557209916652E-2</v>
      </c>
    </row>
    <row r="57" spans="1:5" x14ac:dyDescent="0.3">
      <c r="A57" s="78">
        <v>44704</v>
      </c>
      <c r="B57">
        <v>3350.24072265625</v>
      </c>
      <c r="C57">
        <v>16352.4501953125</v>
      </c>
      <c r="D57" s="46">
        <v>3.111385822617074E-2</v>
      </c>
      <c r="E57" s="46">
        <v>5.3054842488877707E-3</v>
      </c>
    </row>
    <row r="58" spans="1:5" x14ac:dyDescent="0.3">
      <c r="A58" s="78">
        <v>44711</v>
      </c>
      <c r="B58">
        <v>3324.2490234375</v>
      </c>
      <c r="C58">
        <v>16584.30078125</v>
      </c>
      <c r="D58" s="46">
        <v>-7.7581587027401033E-3</v>
      </c>
      <c r="E58" s="46">
        <v>1.4178339219401041E-2</v>
      </c>
    </row>
    <row r="59" spans="1:5" x14ac:dyDescent="0.3">
      <c r="A59" s="78">
        <v>44718</v>
      </c>
      <c r="B59">
        <v>3164.95849609375</v>
      </c>
      <c r="C59">
        <v>16201.7998046875</v>
      </c>
      <c r="D59" s="46">
        <v>-4.7917748105114177E-2</v>
      </c>
      <c r="E59" s="46">
        <v>-2.306403999829465E-2</v>
      </c>
    </row>
    <row r="60" spans="1:5" x14ac:dyDescent="0.3">
      <c r="A60" s="78">
        <v>44725</v>
      </c>
      <c r="B60">
        <v>3137.884033203125</v>
      </c>
      <c r="C60">
        <v>15293.5</v>
      </c>
      <c r="D60" s="46">
        <v>-8.5544448447083532E-3</v>
      </c>
      <c r="E60" s="46">
        <v>-5.6061660780718392E-2</v>
      </c>
    </row>
    <row r="61" spans="1:5" x14ac:dyDescent="0.3">
      <c r="A61" s="78">
        <v>44732</v>
      </c>
      <c r="B61">
        <v>3267.13427734375</v>
      </c>
      <c r="C61">
        <v>15699.25</v>
      </c>
      <c r="D61" s="46">
        <v>4.1190255207961712E-2</v>
      </c>
      <c r="E61" s="46">
        <v>2.6530879131657189E-2</v>
      </c>
    </row>
    <row r="62" spans="1:5" x14ac:dyDescent="0.3">
      <c r="A62" s="78">
        <v>44739</v>
      </c>
      <c r="B62">
        <v>3433.653076171875</v>
      </c>
      <c r="C62">
        <v>15752.0498046875</v>
      </c>
      <c r="D62" s="46">
        <v>5.0967846648625859E-2</v>
      </c>
      <c r="E62" s="46">
        <v>3.3632055472394562E-3</v>
      </c>
    </row>
    <row r="63" spans="1:5" x14ac:dyDescent="0.3">
      <c r="A63" s="78">
        <v>44746</v>
      </c>
      <c r="B63">
        <v>3656.473876953125</v>
      </c>
      <c r="C63">
        <v>16220.599609375</v>
      </c>
      <c r="D63" s="46">
        <v>6.4893218924047424E-2</v>
      </c>
      <c r="E63" s="46">
        <v>2.974532270384711E-2</v>
      </c>
    </row>
    <row r="64" spans="1:5" x14ac:dyDescent="0.3">
      <c r="A64" s="78">
        <v>44753</v>
      </c>
      <c r="B64">
        <v>3687.08056640625</v>
      </c>
      <c r="C64">
        <v>16049.2001953125</v>
      </c>
      <c r="D64" s="46">
        <v>8.3705478236943964E-3</v>
      </c>
      <c r="E64" s="46">
        <v>-1.0566774237090289E-2</v>
      </c>
    </row>
    <row r="65" spans="1:5" x14ac:dyDescent="0.3">
      <c r="A65" s="78">
        <v>44760</v>
      </c>
      <c r="B65">
        <v>3708.682861328125</v>
      </c>
      <c r="C65">
        <v>16719.44921875</v>
      </c>
      <c r="D65" s="46">
        <v>5.8589158909891914E-3</v>
      </c>
      <c r="E65" s="46">
        <v>4.1762144859608608E-2</v>
      </c>
    </row>
    <row r="66" spans="1:5" x14ac:dyDescent="0.3">
      <c r="A66" s="78">
        <v>44767</v>
      </c>
      <c r="B66">
        <v>3736.41552734375</v>
      </c>
      <c r="C66">
        <v>17158.25</v>
      </c>
      <c r="D66" s="46">
        <v>7.4777669195724714E-3</v>
      </c>
      <c r="E66" s="46">
        <v>2.62449304106207E-2</v>
      </c>
    </row>
    <row r="67" spans="1:5" x14ac:dyDescent="0.3">
      <c r="A67" s="78">
        <v>44774</v>
      </c>
      <c r="B67">
        <v>3533.041259765625</v>
      </c>
      <c r="C67">
        <v>17397.5</v>
      </c>
      <c r="D67" s="46">
        <v>-5.4430313248030382E-2</v>
      </c>
      <c r="E67" s="46">
        <v>1.3943729692713401E-2</v>
      </c>
    </row>
    <row r="68" spans="1:5" x14ac:dyDescent="0.3">
      <c r="A68" s="78">
        <v>44781</v>
      </c>
      <c r="B68">
        <v>3505.883056640625</v>
      </c>
      <c r="C68">
        <v>17698.150390625</v>
      </c>
      <c r="D68" s="46">
        <v>-7.6869193219673004E-3</v>
      </c>
      <c r="E68" s="46">
        <v>1.7281241018824559E-2</v>
      </c>
    </row>
    <row r="69" spans="1:5" x14ac:dyDescent="0.3">
      <c r="A69" s="78">
        <v>44788</v>
      </c>
      <c r="B69">
        <v>3508.565673828125</v>
      </c>
      <c r="C69">
        <v>17758.44921875</v>
      </c>
      <c r="D69" s="46">
        <v>7.6517588982860651E-4</v>
      </c>
      <c r="E69" s="46">
        <v>3.407069484331116E-3</v>
      </c>
    </row>
    <row r="70" spans="1:5" x14ac:dyDescent="0.3">
      <c r="A70" s="78">
        <v>44795</v>
      </c>
      <c r="B70">
        <v>3496.686767578125</v>
      </c>
      <c r="C70">
        <v>17558.900390625</v>
      </c>
      <c r="D70" s="46">
        <v>-3.3856873019677551E-3</v>
      </c>
      <c r="E70" s="46">
        <v>-1.1236838626331741E-2</v>
      </c>
    </row>
    <row r="71" spans="1:5" x14ac:dyDescent="0.3">
      <c r="A71" s="78">
        <v>44802</v>
      </c>
      <c r="B71">
        <v>3548.51220703125</v>
      </c>
      <c r="C71">
        <v>17539.44921875</v>
      </c>
      <c r="D71" s="46">
        <v>1.4821298817400351E-2</v>
      </c>
      <c r="E71" s="46">
        <v>-1.107767083489253E-3</v>
      </c>
    </row>
    <row r="72" spans="1:5" x14ac:dyDescent="0.3">
      <c r="A72" s="78">
        <v>44809</v>
      </c>
      <c r="B72">
        <v>3496.06396484375</v>
      </c>
      <c r="C72">
        <v>17833.349609375</v>
      </c>
      <c r="D72" s="46">
        <v>-1.4780347122260279E-2</v>
      </c>
      <c r="E72" s="46">
        <v>1.675653476682815E-2</v>
      </c>
    </row>
    <row r="73" spans="1:5" x14ac:dyDescent="0.3">
      <c r="A73" s="78">
        <v>44816</v>
      </c>
      <c r="B73">
        <v>3486.5322265625</v>
      </c>
      <c r="C73">
        <v>17530.849609375</v>
      </c>
      <c r="D73" s="46">
        <v>-2.7264198759234799E-3</v>
      </c>
      <c r="E73" s="46">
        <v>-1.6962601341083738E-2</v>
      </c>
    </row>
    <row r="74" spans="1:5" x14ac:dyDescent="0.3">
      <c r="A74" s="78">
        <v>44823</v>
      </c>
      <c r="B74">
        <v>3637.0751953125</v>
      </c>
      <c r="C74">
        <v>17327.349609375</v>
      </c>
      <c r="D74" s="46">
        <v>4.3178424568421692E-2</v>
      </c>
      <c r="E74" s="46">
        <v>-1.160810825113545E-2</v>
      </c>
    </row>
    <row r="75" spans="1:5" x14ac:dyDescent="0.3">
      <c r="A75" s="78">
        <v>44830</v>
      </c>
      <c r="B75">
        <v>3681.4765625</v>
      </c>
      <c r="C75">
        <v>17094.349609375</v>
      </c>
      <c r="D75" s="46">
        <v>1.220798713337712E-2</v>
      </c>
      <c r="E75" s="46">
        <v>-1.3446949778974541E-2</v>
      </c>
    </row>
    <row r="76" spans="1:5" x14ac:dyDescent="0.3">
      <c r="A76" s="78">
        <v>44837</v>
      </c>
      <c r="B76">
        <v>3626.489990234375</v>
      </c>
      <c r="C76">
        <v>17314.650390625</v>
      </c>
      <c r="D76" s="46">
        <v>-1.493601041107406E-2</v>
      </c>
      <c r="E76" s="46">
        <v>1.2887345016576729E-2</v>
      </c>
    </row>
    <row r="77" spans="1:5" x14ac:dyDescent="0.3">
      <c r="A77" s="78">
        <v>44844</v>
      </c>
      <c r="B77">
        <v>3636.644287109375</v>
      </c>
      <c r="C77">
        <v>17185.69921875</v>
      </c>
      <c r="D77" s="46">
        <v>2.8000344416623251E-3</v>
      </c>
      <c r="E77" s="46">
        <v>-7.4475180824222784E-3</v>
      </c>
    </row>
    <row r="78" spans="1:5" x14ac:dyDescent="0.3">
      <c r="A78" s="78">
        <v>44851</v>
      </c>
      <c r="B78">
        <v>3633.24365234375</v>
      </c>
      <c r="C78">
        <v>17576.30078125</v>
      </c>
      <c r="D78" s="46">
        <v>-9.3510239032146281E-4</v>
      </c>
      <c r="E78" s="46">
        <v>2.2728290395880091E-2</v>
      </c>
    </row>
    <row r="79" spans="1:5" x14ac:dyDescent="0.3">
      <c r="A79" s="78">
        <v>44858</v>
      </c>
      <c r="B79">
        <v>3618.874267578125</v>
      </c>
      <c r="C79">
        <v>17786.80078125</v>
      </c>
      <c r="D79" s="46">
        <v>-3.9549741609967706E-3</v>
      </c>
      <c r="E79" s="46">
        <v>1.197635399051422E-2</v>
      </c>
    </row>
    <row r="80" spans="1:5" x14ac:dyDescent="0.3">
      <c r="A80" s="78">
        <v>44865</v>
      </c>
      <c r="B80">
        <v>3644.260009765625</v>
      </c>
      <c r="C80">
        <v>18117.150390625</v>
      </c>
      <c r="D80" s="46">
        <v>7.0148174019013521E-3</v>
      </c>
      <c r="E80" s="46">
        <v>1.857273904609302E-2</v>
      </c>
    </row>
    <row r="81" spans="1:5" x14ac:dyDescent="0.3">
      <c r="A81" s="78">
        <v>44872</v>
      </c>
      <c r="B81">
        <v>3926.33056640625</v>
      </c>
      <c r="C81">
        <v>18349.69921875</v>
      </c>
      <c r="D81" s="46">
        <v>7.7401325889138617E-2</v>
      </c>
      <c r="E81" s="46">
        <v>1.2835839141973169E-2</v>
      </c>
    </row>
    <row r="82" spans="1:5" x14ac:dyDescent="0.3">
      <c r="A82" s="78">
        <v>44879</v>
      </c>
      <c r="B82">
        <v>3933.419189453125</v>
      </c>
      <c r="C82">
        <v>18307.650390625</v>
      </c>
      <c r="D82" s="46">
        <v>1.8054065817905141E-3</v>
      </c>
      <c r="E82" s="46">
        <v>-2.2915268323326909E-3</v>
      </c>
    </row>
    <row r="83" spans="1:5" x14ac:dyDescent="0.3">
      <c r="A83" s="78">
        <v>44886</v>
      </c>
      <c r="B83">
        <v>4007.804931640625</v>
      </c>
      <c r="C83">
        <v>18512.75</v>
      </c>
      <c r="D83" s="46">
        <v>1.8911216578938239E-2</v>
      </c>
      <c r="E83" s="46">
        <v>1.120294548993717E-2</v>
      </c>
    </row>
    <row r="84" spans="1:5" x14ac:dyDescent="0.3">
      <c r="A84" s="78">
        <v>44893</v>
      </c>
      <c r="B84">
        <v>4246.52734375</v>
      </c>
      <c r="C84">
        <v>18696.099609375</v>
      </c>
      <c r="D84" s="46">
        <v>5.9564379050667027E-2</v>
      </c>
      <c r="E84" s="46">
        <v>9.9039639910332156E-3</v>
      </c>
    </row>
    <row r="85" spans="1:5" x14ac:dyDescent="0.3">
      <c r="A85" s="78">
        <v>44900</v>
      </c>
      <c r="B85">
        <v>4224.8779296875</v>
      </c>
      <c r="C85">
        <v>18496.599609375</v>
      </c>
      <c r="D85" s="46">
        <v>-5.0981454515683922E-3</v>
      </c>
      <c r="E85" s="46">
        <v>-1.0670674855624011E-2</v>
      </c>
    </row>
    <row r="86" spans="1:5" x14ac:dyDescent="0.3">
      <c r="A86" s="78">
        <v>44907</v>
      </c>
      <c r="B86">
        <v>4257.83154296875</v>
      </c>
      <c r="C86">
        <v>18269</v>
      </c>
      <c r="D86" s="46">
        <v>7.7998971401493922E-3</v>
      </c>
      <c r="E86" s="46">
        <v>-1.2304943296693399E-2</v>
      </c>
    </row>
    <row r="87" spans="1:5" x14ac:dyDescent="0.3">
      <c r="A87" s="78">
        <v>44914</v>
      </c>
      <c r="B87">
        <v>4149.7744140625</v>
      </c>
      <c r="C87">
        <v>17806.80078125</v>
      </c>
      <c r="D87" s="46">
        <v>-2.5378441541373808E-2</v>
      </c>
      <c r="E87" s="46">
        <v>-2.5299645232360831E-2</v>
      </c>
    </row>
    <row r="88" spans="1:5" x14ac:dyDescent="0.3">
      <c r="A88" s="78">
        <v>44921</v>
      </c>
      <c r="B88">
        <v>4126.35205078125</v>
      </c>
      <c r="C88">
        <v>18105.30078125</v>
      </c>
      <c r="D88" s="46">
        <v>-5.644249769789389E-3</v>
      </c>
      <c r="E88" s="46">
        <v>1.676325824424962E-2</v>
      </c>
    </row>
    <row r="89" spans="1:5" x14ac:dyDescent="0.3">
      <c r="A89" s="78">
        <v>44928</v>
      </c>
      <c r="B89">
        <v>4175.78173828125</v>
      </c>
      <c r="C89">
        <v>17859.44921875</v>
      </c>
      <c r="D89" s="46">
        <v>1.197902818074903E-2</v>
      </c>
      <c r="E89" s="46">
        <v>-1.3578982501887269E-2</v>
      </c>
    </row>
    <row r="90" spans="1:5" x14ac:dyDescent="0.3">
      <c r="A90" s="78">
        <v>44935</v>
      </c>
      <c r="B90">
        <v>4153.79736328125</v>
      </c>
      <c r="C90">
        <v>17956.599609375</v>
      </c>
      <c r="D90" s="46">
        <v>-5.2647327800826593E-3</v>
      </c>
      <c r="E90" s="46">
        <v>5.4397193012540868E-3</v>
      </c>
    </row>
    <row r="91" spans="1:5" x14ac:dyDescent="0.3">
      <c r="A91" s="78">
        <v>44942</v>
      </c>
      <c r="B91">
        <v>4137.36865234375</v>
      </c>
      <c r="C91">
        <v>18027.650390625</v>
      </c>
      <c r="D91" s="46">
        <v>-3.9551064967026086E-3</v>
      </c>
      <c r="E91" s="46">
        <v>3.9568060098029711E-3</v>
      </c>
    </row>
    <row r="92" spans="1:5" x14ac:dyDescent="0.3">
      <c r="A92" s="78">
        <v>44949</v>
      </c>
      <c r="B92">
        <v>4196.23486328125</v>
      </c>
      <c r="C92">
        <v>17604.349609375</v>
      </c>
      <c r="D92" s="46">
        <v>1.4227934681178001E-2</v>
      </c>
      <c r="E92" s="46">
        <v>-2.348064068682687E-2</v>
      </c>
    </row>
    <row r="93" spans="1:5" x14ac:dyDescent="0.3">
      <c r="A93" s="78">
        <v>44956</v>
      </c>
      <c r="B93">
        <v>4434.23974609375</v>
      </c>
      <c r="C93">
        <v>17854.05078125</v>
      </c>
      <c r="D93" s="46">
        <v>5.6718675328480517E-2</v>
      </c>
      <c r="E93" s="46">
        <v>1.4184061178950101E-2</v>
      </c>
    </row>
    <row r="94" spans="1:5" x14ac:dyDescent="0.3">
      <c r="A94" s="78">
        <v>44963</v>
      </c>
      <c r="B94">
        <v>4428.34814453125</v>
      </c>
      <c r="C94">
        <v>17856.5</v>
      </c>
      <c r="D94" s="46">
        <v>-1.3286610331997299E-3</v>
      </c>
      <c r="E94" s="46">
        <v>1.3718000357498819E-4</v>
      </c>
    </row>
    <row r="95" spans="1:5" x14ac:dyDescent="0.3">
      <c r="A95" s="78">
        <v>44970</v>
      </c>
      <c r="B95">
        <v>4342.658203125</v>
      </c>
      <c r="C95">
        <v>17944.19921875</v>
      </c>
      <c r="D95" s="46">
        <v>-1.935031723105873E-2</v>
      </c>
      <c r="E95" s="46">
        <v>4.9113330579901859E-3</v>
      </c>
    </row>
    <row r="96" spans="1:5" x14ac:dyDescent="0.3">
      <c r="A96" s="78">
        <v>44977</v>
      </c>
      <c r="B96">
        <v>4255.771484375</v>
      </c>
      <c r="C96">
        <v>17465.80078125</v>
      </c>
      <c r="D96" s="46">
        <v>-2.0007726762257261E-2</v>
      </c>
      <c r="E96" s="46">
        <v>-2.6660339180815559E-2</v>
      </c>
    </row>
    <row r="97" spans="1:5" x14ac:dyDescent="0.3">
      <c r="A97" s="78">
        <v>44984</v>
      </c>
      <c r="B97">
        <v>4226.45849609375</v>
      </c>
      <c r="C97">
        <v>17594.349609375</v>
      </c>
      <c r="D97" s="46">
        <v>-6.8878200788909938E-3</v>
      </c>
      <c r="E97" s="46">
        <v>7.3600305955052736E-3</v>
      </c>
    </row>
    <row r="98" spans="1:5" x14ac:dyDescent="0.3">
      <c r="A98" s="78">
        <v>44991</v>
      </c>
      <c r="B98">
        <v>4129.75244140625</v>
      </c>
      <c r="C98">
        <v>17412.900390625</v>
      </c>
      <c r="D98" s="46">
        <v>-2.2881108326718299E-2</v>
      </c>
      <c r="E98" s="46">
        <v>-1.031292561410257E-2</v>
      </c>
    </row>
    <row r="99" spans="1:5" x14ac:dyDescent="0.3">
      <c r="A99" s="78">
        <v>44998</v>
      </c>
      <c r="B99">
        <v>4179.13525390625</v>
      </c>
      <c r="C99">
        <v>17100.05078125</v>
      </c>
      <c r="D99" s="46">
        <v>1.195781422752407E-2</v>
      </c>
      <c r="E99" s="46">
        <v>-1.7966542181762971E-2</v>
      </c>
    </row>
    <row r="100" spans="1:5" x14ac:dyDescent="0.3">
      <c r="A100" s="78">
        <v>45005</v>
      </c>
      <c r="B100">
        <v>4023.37158203125</v>
      </c>
      <c r="C100">
        <v>16945.05078125</v>
      </c>
      <c r="D100" s="46">
        <v>-3.727174700302105E-2</v>
      </c>
      <c r="E100" s="46">
        <v>-9.0643005674553301E-3</v>
      </c>
    </row>
    <row r="101" spans="1:5" x14ac:dyDescent="0.3">
      <c r="A101" s="78">
        <v>45012</v>
      </c>
      <c r="B101">
        <v>4140.43408203125</v>
      </c>
      <c r="C101">
        <v>17359.75</v>
      </c>
      <c r="D101" s="46">
        <v>2.9095622319055051E-2</v>
      </c>
      <c r="E101" s="46">
        <v>2.447317651056391E-2</v>
      </c>
    </row>
    <row r="102" spans="1:5" x14ac:dyDescent="0.3">
      <c r="A102" s="78">
        <v>45019</v>
      </c>
      <c r="B102">
        <v>4119.02294921875</v>
      </c>
      <c r="C102">
        <v>17599.150390625</v>
      </c>
      <c r="D102" s="46">
        <v>-5.1712290036014519E-3</v>
      </c>
      <c r="E102" s="46">
        <v>1.379054367862431E-2</v>
      </c>
    </row>
    <row r="103" spans="1:5" x14ac:dyDescent="0.3">
      <c r="A103" s="78">
        <v>45026</v>
      </c>
      <c r="B103">
        <v>4084.920654296875</v>
      </c>
      <c r="C103">
        <v>17828</v>
      </c>
      <c r="D103" s="46">
        <v>-8.2792194513854334E-3</v>
      </c>
      <c r="E103" s="46">
        <v>1.300344643323847E-2</v>
      </c>
    </row>
    <row r="104" spans="1:5" x14ac:dyDescent="0.3">
      <c r="A104" s="78">
        <v>45033</v>
      </c>
      <c r="B104">
        <v>4216.92919921875</v>
      </c>
      <c r="C104">
        <v>17624.05078125</v>
      </c>
      <c r="D104" s="46">
        <v>3.2316060970001281E-2</v>
      </c>
      <c r="E104" s="46">
        <v>-1.1439826046107269E-2</v>
      </c>
    </row>
    <row r="105" spans="1:5" x14ac:dyDescent="0.3">
      <c r="A105" s="78">
        <v>45040</v>
      </c>
      <c r="B105">
        <v>4436.896484375</v>
      </c>
      <c r="C105">
        <v>18065</v>
      </c>
      <c r="D105" s="46">
        <v>5.2162906884232862E-2</v>
      </c>
      <c r="E105" s="46">
        <v>2.5019742862924629E-2</v>
      </c>
    </row>
    <row r="106" spans="1:5" x14ac:dyDescent="0.3">
      <c r="A106" s="78">
        <v>45047</v>
      </c>
      <c r="B106">
        <v>4507.490234375</v>
      </c>
      <c r="C106">
        <v>18069</v>
      </c>
      <c r="D106" s="46">
        <v>1.5910614603834809E-2</v>
      </c>
      <c r="E106" s="46">
        <v>2.2142264046509649E-4</v>
      </c>
    </row>
    <row r="107" spans="1:5" x14ac:dyDescent="0.3">
      <c r="A107" s="78">
        <v>45054</v>
      </c>
      <c r="B107">
        <v>4498.23388671875</v>
      </c>
      <c r="C107">
        <v>18314.80078125</v>
      </c>
      <c r="D107" s="46">
        <v>-2.0535480222806379E-3</v>
      </c>
      <c r="E107" s="46">
        <v>1.360345239083505E-2</v>
      </c>
    </row>
    <row r="108" spans="1:5" x14ac:dyDescent="0.3">
      <c r="A108" s="78">
        <v>45061</v>
      </c>
      <c r="B108">
        <v>4384.572265625</v>
      </c>
      <c r="C108">
        <v>18203.400390625</v>
      </c>
      <c r="D108" s="46">
        <v>-2.5268054964714289E-2</v>
      </c>
      <c r="E108" s="46">
        <v>-6.0825335724671303E-3</v>
      </c>
    </row>
    <row r="109" spans="1:5" x14ac:dyDescent="0.3">
      <c r="A109" s="78">
        <v>45068</v>
      </c>
      <c r="B109">
        <v>4478.4541015625</v>
      </c>
      <c r="C109">
        <v>18499.349609375</v>
      </c>
      <c r="D109" s="46">
        <v>2.1411857360302381E-2</v>
      </c>
      <c r="E109" s="46">
        <v>1.6257908544516701E-2</v>
      </c>
    </row>
    <row r="110" spans="1:5" x14ac:dyDescent="0.3">
      <c r="A110" s="78">
        <v>45075</v>
      </c>
      <c r="B110">
        <v>4534.91943359375</v>
      </c>
      <c r="C110">
        <v>18534.099609375</v>
      </c>
      <c r="D110" s="46">
        <v>1.260821943258272E-2</v>
      </c>
      <c r="E110" s="46">
        <v>1.8784444174400059E-3</v>
      </c>
    </row>
    <row r="111" spans="1:5" x14ac:dyDescent="0.3">
      <c r="A111" s="78">
        <v>45082</v>
      </c>
      <c r="B111">
        <v>4753.76513671875</v>
      </c>
      <c r="C111">
        <v>18563.400390625</v>
      </c>
      <c r="D111" s="46">
        <v>4.8257903217383769E-2</v>
      </c>
      <c r="E111" s="46">
        <v>1.580912041455607E-3</v>
      </c>
    </row>
    <row r="112" spans="1:5" x14ac:dyDescent="0.3">
      <c r="A112" s="78">
        <v>45089</v>
      </c>
      <c r="B112">
        <v>4915.46435546875</v>
      </c>
      <c r="C112">
        <v>18826</v>
      </c>
      <c r="D112" s="46">
        <v>3.4014978464335988E-2</v>
      </c>
      <c r="E112" s="46">
        <v>1.41460941341125E-2</v>
      </c>
    </row>
    <row r="113" spans="1:5" x14ac:dyDescent="0.3">
      <c r="A113" s="78">
        <v>45096</v>
      </c>
      <c r="B113">
        <v>4843.45703125</v>
      </c>
      <c r="C113">
        <v>18665.5</v>
      </c>
      <c r="D113" s="46">
        <v>-1.464913973766024E-2</v>
      </c>
      <c r="E113" s="46">
        <v>-8.5254435355359703E-3</v>
      </c>
    </row>
    <row r="114" spans="1:5" x14ac:dyDescent="0.3">
      <c r="A114" s="78">
        <v>45103</v>
      </c>
      <c r="B114">
        <v>4895.830078125</v>
      </c>
      <c r="C114">
        <v>19189.05078125</v>
      </c>
      <c r="D114" s="46">
        <v>1.08131540214127E-2</v>
      </c>
      <c r="E114" s="46">
        <v>2.8049116351021919E-2</v>
      </c>
    </row>
    <row r="115" spans="1:5" x14ac:dyDescent="0.3">
      <c r="A115" s="78">
        <v>45110</v>
      </c>
      <c r="B115">
        <v>4925.0126953125</v>
      </c>
      <c r="C115">
        <v>19331.80078125</v>
      </c>
      <c r="D115" s="46">
        <v>5.9607087504711656E-3</v>
      </c>
      <c r="E115" s="46">
        <v>7.4391381641183418E-3</v>
      </c>
    </row>
    <row r="116" spans="1:5" x14ac:dyDescent="0.3">
      <c r="A116" s="78">
        <v>45117</v>
      </c>
      <c r="B116">
        <v>5001.697265625</v>
      </c>
      <c r="C116">
        <v>19564.5</v>
      </c>
      <c r="D116" s="46">
        <v>1.557043099309907E-2</v>
      </c>
      <c r="E116" s="46">
        <v>1.20371206688461E-2</v>
      </c>
    </row>
    <row r="117" spans="1:5" x14ac:dyDescent="0.3">
      <c r="A117" s="78">
        <v>45124</v>
      </c>
      <c r="B117">
        <v>4917.705078125</v>
      </c>
      <c r="C117">
        <v>19745</v>
      </c>
      <c r="D117" s="46">
        <v>-1.6792737152896201E-2</v>
      </c>
      <c r="E117" s="46">
        <v>9.225893838329613E-3</v>
      </c>
    </row>
    <row r="118" spans="1:5" x14ac:dyDescent="0.3">
      <c r="A118" s="78">
        <v>45131</v>
      </c>
      <c r="B118">
        <v>4777.7353515625</v>
      </c>
      <c r="C118">
        <v>19646.05078125</v>
      </c>
      <c r="D118" s="46">
        <v>-2.846240763504004E-2</v>
      </c>
      <c r="E118" s="46">
        <v>-5.0113557229678474E-3</v>
      </c>
    </row>
    <row r="119" spans="1:5" x14ac:dyDescent="0.3">
      <c r="A119" s="78">
        <v>45138</v>
      </c>
      <c r="B119">
        <v>4675.57080078125</v>
      </c>
      <c r="C119">
        <v>19517</v>
      </c>
      <c r="D119" s="46">
        <v>-2.1383467953669411E-2</v>
      </c>
      <c r="E119" s="46">
        <v>-6.5687899663359186E-3</v>
      </c>
    </row>
    <row r="120" spans="1:5" x14ac:dyDescent="0.3">
      <c r="A120" s="78">
        <v>45145</v>
      </c>
      <c r="B120">
        <v>4394.75390625</v>
      </c>
      <c r="C120">
        <v>19428.30078125</v>
      </c>
      <c r="D120" s="46">
        <v>-6.0060451760099109E-2</v>
      </c>
      <c r="E120" s="46">
        <v>-4.5447158246656461E-3</v>
      </c>
    </row>
    <row r="121" spans="1:5" x14ac:dyDescent="0.3">
      <c r="A121" s="78">
        <v>45152</v>
      </c>
      <c r="B121">
        <v>4418.8701171875</v>
      </c>
      <c r="C121">
        <v>19310.150390625</v>
      </c>
      <c r="D121" s="46">
        <v>5.4874997444573914E-3</v>
      </c>
      <c r="E121" s="46">
        <v>-6.0813548212629298E-3</v>
      </c>
    </row>
    <row r="122" spans="1:5" x14ac:dyDescent="0.3">
      <c r="A122" s="78">
        <v>45159</v>
      </c>
      <c r="B122">
        <v>4409.857421875</v>
      </c>
      <c r="C122">
        <v>19265.80078125</v>
      </c>
      <c r="D122" s="46">
        <v>-2.039592717931304E-3</v>
      </c>
      <c r="E122" s="46">
        <v>-2.296699325373019E-3</v>
      </c>
    </row>
    <row r="123" spans="1:5" x14ac:dyDescent="0.3">
      <c r="A123" s="78">
        <v>45166</v>
      </c>
      <c r="B123">
        <v>4369.46923828125</v>
      </c>
      <c r="C123">
        <v>19435.30078125</v>
      </c>
      <c r="D123" s="46">
        <v>-9.1586143790965968E-3</v>
      </c>
      <c r="E123" s="46">
        <v>8.797973254502045E-3</v>
      </c>
    </row>
    <row r="124" spans="1:5" x14ac:dyDescent="0.3">
      <c r="A124" s="78">
        <v>45173</v>
      </c>
      <c r="B124">
        <v>4424.1806640625</v>
      </c>
      <c r="C124">
        <v>19819.94921875</v>
      </c>
      <c r="D124" s="46">
        <v>1.252129785053047E-2</v>
      </c>
      <c r="E124" s="46">
        <v>1.9791226378708119E-2</v>
      </c>
    </row>
    <row r="125" spans="1:5" x14ac:dyDescent="0.3">
      <c r="A125" s="78">
        <v>45180</v>
      </c>
      <c r="B125">
        <v>4416.7265625</v>
      </c>
      <c r="C125">
        <v>20192.349609375</v>
      </c>
      <c r="D125" s="46">
        <v>-1.6848546948025069E-3</v>
      </c>
      <c r="E125" s="46">
        <v>1.8789169766020519E-2</v>
      </c>
    </row>
    <row r="126" spans="1:5" x14ac:dyDescent="0.3">
      <c r="A126" s="78">
        <v>45187</v>
      </c>
      <c r="B126">
        <v>4447.7119140625</v>
      </c>
      <c r="C126">
        <v>19674.25</v>
      </c>
      <c r="D126" s="46">
        <v>7.015456158318667E-3</v>
      </c>
      <c r="E126" s="46">
        <v>-2.5658213105346332E-2</v>
      </c>
    </row>
    <row r="127" spans="1:5" x14ac:dyDescent="0.3">
      <c r="A127" s="78">
        <v>45194</v>
      </c>
      <c r="B127">
        <v>4420.91650390625</v>
      </c>
      <c r="C127">
        <v>19638.30078125</v>
      </c>
      <c r="D127" s="46">
        <v>-6.024538161190196E-3</v>
      </c>
      <c r="E127" s="46">
        <v>-1.827221812775615E-3</v>
      </c>
    </row>
    <row r="128" spans="1:5" x14ac:dyDescent="0.3">
      <c r="A128" s="78">
        <v>45201</v>
      </c>
      <c r="B128">
        <v>4422.18359375</v>
      </c>
      <c r="C128">
        <v>19653.5</v>
      </c>
      <c r="D128" s="46">
        <v>2.8661248015660062E-4</v>
      </c>
      <c r="E128" s="46">
        <v>7.7395793654977396E-4</v>
      </c>
    </row>
    <row r="129" spans="1:5" x14ac:dyDescent="0.3">
      <c r="A129" s="78">
        <v>45208</v>
      </c>
      <c r="B129">
        <v>4457.50439453125</v>
      </c>
      <c r="C129">
        <v>19751.05078125</v>
      </c>
      <c r="D129" s="46">
        <v>7.9871855232718225E-3</v>
      </c>
      <c r="E129" s="46">
        <v>4.9635322588852393E-3</v>
      </c>
    </row>
    <row r="130" spans="1:5" x14ac:dyDescent="0.3">
      <c r="A130" s="78">
        <v>45215</v>
      </c>
      <c r="B130">
        <v>4462.6689453125</v>
      </c>
      <c r="C130">
        <v>19542.650390625</v>
      </c>
      <c r="D130" s="46">
        <v>1.158619335874578E-3</v>
      </c>
      <c r="E130" s="46">
        <v>-1.0551357137051021E-2</v>
      </c>
    </row>
    <row r="131" spans="1:5" x14ac:dyDescent="0.3">
      <c r="A131" s="78">
        <v>45222</v>
      </c>
      <c r="B131">
        <v>4398.6513671875</v>
      </c>
      <c r="C131">
        <v>19047.25</v>
      </c>
      <c r="D131" s="46">
        <v>-1.434513267945692E-2</v>
      </c>
      <c r="E131" s="46">
        <v>-2.534970337813813E-2</v>
      </c>
    </row>
    <row r="132" spans="1:5" x14ac:dyDescent="0.3">
      <c r="A132" s="78">
        <v>45229</v>
      </c>
      <c r="B132">
        <v>4423.2548828125</v>
      </c>
      <c r="C132">
        <v>19230.599609375</v>
      </c>
      <c r="D132" s="46">
        <v>5.5934225223062128E-3</v>
      </c>
      <c r="E132" s="46">
        <v>9.6260409967319216E-3</v>
      </c>
    </row>
    <row r="133" spans="1:5" x14ac:dyDescent="0.3">
      <c r="A133" s="78">
        <v>45236</v>
      </c>
      <c r="B133">
        <v>4562.00732421875</v>
      </c>
      <c r="C133">
        <v>19425.349609375</v>
      </c>
      <c r="D133" s="46">
        <v>3.1368855081221447E-2</v>
      </c>
      <c r="E133" s="46">
        <v>1.0127089324092561E-2</v>
      </c>
    </row>
    <row r="134" spans="1:5" x14ac:dyDescent="0.3">
      <c r="A134" s="78">
        <v>45243</v>
      </c>
      <c r="B134">
        <v>4597.42578125</v>
      </c>
      <c r="C134">
        <v>19731.80078125</v>
      </c>
      <c r="D134" s="46">
        <v>7.7637878490945944E-3</v>
      </c>
      <c r="E134" s="46">
        <v>1.577583817215333E-2</v>
      </c>
    </row>
    <row r="135" spans="1:5" x14ac:dyDescent="0.3">
      <c r="A135" s="78">
        <v>45250</v>
      </c>
      <c r="B135">
        <v>4525.17529296875</v>
      </c>
      <c r="C135">
        <v>19794.69921875</v>
      </c>
      <c r="D135" s="46">
        <v>-1.5715422438338011E-2</v>
      </c>
      <c r="E135" s="46">
        <v>3.1876683835045938E-3</v>
      </c>
    </row>
    <row r="136" spans="1:5" x14ac:dyDescent="0.3">
      <c r="A136" s="78">
        <v>45257</v>
      </c>
      <c r="B136">
        <v>4843.408203125</v>
      </c>
      <c r="C136">
        <v>20267.900390625</v>
      </c>
      <c r="D136" s="46">
        <v>7.0324990647483432E-2</v>
      </c>
      <c r="E136" s="46">
        <v>2.3905448961142769E-2</v>
      </c>
    </row>
    <row r="137" spans="1:5" x14ac:dyDescent="0.3">
      <c r="A137" s="78">
        <v>45264</v>
      </c>
      <c r="B137">
        <v>4815.59033203125</v>
      </c>
      <c r="C137">
        <v>20969.400390625</v>
      </c>
      <c r="D137" s="46">
        <v>-5.7434496385834199E-3</v>
      </c>
      <c r="E137" s="46">
        <v>3.4611379890365113E-2</v>
      </c>
    </row>
    <row r="138" spans="1:5" x14ac:dyDescent="0.3">
      <c r="A138" s="78">
        <v>45271</v>
      </c>
      <c r="B138">
        <v>4788.0146484375</v>
      </c>
      <c r="C138">
        <v>21456.650390625</v>
      </c>
      <c r="D138" s="46">
        <v>-5.726335026949525E-3</v>
      </c>
      <c r="E138" s="46">
        <v>2.3236239039903021E-2</v>
      </c>
    </row>
    <row r="139" spans="1:5" x14ac:dyDescent="0.3">
      <c r="A139" s="78">
        <v>45278</v>
      </c>
      <c r="B139">
        <v>5028.8818359375</v>
      </c>
      <c r="C139">
        <v>21349.400390625</v>
      </c>
      <c r="D139" s="46">
        <v>5.0306276230504647E-2</v>
      </c>
      <c r="E139" s="46">
        <v>-4.9984502728748206E-3</v>
      </c>
    </row>
    <row r="140" spans="1:5" x14ac:dyDescent="0.3">
      <c r="A140" s="78">
        <v>45285</v>
      </c>
      <c r="B140">
        <v>5201.68896484375</v>
      </c>
      <c r="C140">
        <v>21731.400390625</v>
      </c>
      <c r="D140" s="46">
        <v>3.4362932863391649E-2</v>
      </c>
      <c r="E140" s="46">
        <v>1.7892774176821561E-2</v>
      </c>
    </row>
    <row r="141" spans="1:5" x14ac:dyDescent="0.3">
      <c r="A141" s="78">
        <v>45292</v>
      </c>
      <c r="B141">
        <v>5137.2822265625</v>
      </c>
      <c r="C141">
        <v>21710.80078125</v>
      </c>
      <c r="D141" s="46">
        <v>-1.238188955867048E-2</v>
      </c>
      <c r="E141" s="46">
        <v>-9.4791909424696286E-4</v>
      </c>
    </row>
    <row r="142" spans="1:5" x14ac:dyDescent="0.3">
      <c r="A142" s="78">
        <v>45299</v>
      </c>
      <c r="B142">
        <v>5019.13818359375</v>
      </c>
      <c r="C142">
        <v>21894.55078125</v>
      </c>
      <c r="D142" s="46">
        <v>-2.2997382226322301E-2</v>
      </c>
      <c r="E142" s="46">
        <v>8.4635293673134271E-3</v>
      </c>
    </row>
    <row r="143" spans="1:5" x14ac:dyDescent="0.3">
      <c r="A143" s="78">
        <v>45306</v>
      </c>
      <c r="B143">
        <v>5007.0068359375</v>
      </c>
      <c r="C143">
        <v>21622.400390625</v>
      </c>
      <c r="D143" s="46">
        <v>-2.4170180641577281E-3</v>
      </c>
      <c r="E143" s="46">
        <v>-1.243005135588637E-2</v>
      </c>
    </row>
    <row r="144" spans="1:5" x14ac:dyDescent="0.3">
      <c r="A144" s="78">
        <v>45313</v>
      </c>
      <c r="B144">
        <v>5010.173828125</v>
      </c>
      <c r="C144">
        <v>21352.599609375</v>
      </c>
      <c r="D144" s="46">
        <v>6.3251205585923564E-4</v>
      </c>
      <c r="E144" s="46">
        <v>-1.247783670526148E-2</v>
      </c>
    </row>
    <row r="145" spans="1:5" x14ac:dyDescent="0.3">
      <c r="A145" s="78">
        <v>45320</v>
      </c>
      <c r="B145">
        <v>5016.94580078125</v>
      </c>
      <c r="C145">
        <v>21853.80078125</v>
      </c>
      <c r="D145" s="46">
        <v>1.3516442519887479E-3</v>
      </c>
      <c r="E145" s="46">
        <v>2.3472606663543779E-2</v>
      </c>
    </row>
    <row r="146" spans="1:5" x14ac:dyDescent="0.3">
      <c r="A146" s="78">
        <v>45327</v>
      </c>
      <c r="B146">
        <v>4844.13916015625</v>
      </c>
      <c r="C146">
        <v>21782.5</v>
      </c>
      <c r="D146" s="46">
        <v>-3.4444589893335098E-2</v>
      </c>
      <c r="E146" s="46">
        <v>-3.262626119991618E-3</v>
      </c>
    </row>
    <row r="147" spans="1:5" x14ac:dyDescent="0.3">
      <c r="A147" s="78">
        <v>45334</v>
      </c>
      <c r="B147">
        <v>4787.8203125</v>
      </c>
      <c r="C147">
        <v>22040.69921875</v>
      </c>
      <c r="D147" s="46">
        <v>-1.162618285607497E-2</v>
      </c>
      <c r="E147" s="46">
        <v>1.1853516297486429E-2</v>
      </c>
    </row>
    <row r="148" spans="1:5" x14ac:dyDescent="0.3">
      <c r="A148" s="78">
        <v>45341</v>
      </c>
      <c r="B148">
        <v>4809.8896484375</v>
      </c>
      <c r="C148">
        <v>22212.69921875</v>
      </c>
      <c r="D148" s="46">
        <v>4.6094745619174038E-3</v>
      </c>
      <c r="E148" s="46">
        <v>7.8037451667449798E-3</v>
      </c>
    </row>
    <row r="149" spans="1:5" x14ac:dyDescent="0.3">
      <c r="A149" s="78">
        <v>45348</v>
      </c>
      <c r="B149">
        <v>4801.4619140625</v>
      </c>
      <c r="C149">
        <v>22338.75</v>
      </c>
      <c r="D149" s="46">
        <v>-1.7521679271244039E-3</v>
      </c>
      <c r="E149" s="46">
        <v>5.6747169719741919E-3</v>
      </c>
    </row>
    <row r="150" spans="1:5" x14ac:dyDescent="0.3">
      <c r="A150" s="78">
        <v>45355</v>
      </c>
      <c r="B150">
        <v>4763.89892578125</v>
      </c>
      <c r="C150">
        <v>22493.55078125</v>
      </c>
      <c r="D150" s="46">
        <v>-7.8232398701811867E-3</v>
      </c>
      <c r="E150" s="46">
        <v>6.9296975546975226E-3</v>
      </c>
    </row>
    <row r="151" spans="1:5" x14ac:dyDescent="0.3">
      <c r="A151" s="78">
        <v>45362</v>
      </c>
      <c r="B151">
        <v>4846.7705078125</v>
      </c>
      <c r="C151">
        <v>22023.349609375</v>
      </c>
      <c r="D151" s="46">
        <v>1.7395747332666019E-2</v>
      </c>
      <c r="E151" s="46">
        <v>-2.09038215641324E-2</v>
      </c>
    </row>
    <row r="152" spans="1:5" x14ac:dyDescent="0.3">
      <c r="A152" s="78">
        <v>45369</v>
      </c>
      <c r="B152">
        <v>4740.36767578125</v>
      </c>
      <c r="C152">
        <v>22096.75</v>
      </c>
      <c r="D152" s="46">
        <v>-2.195334643134839E-2</v>
      </c>
      <c r="E152" s="46">
        <v>3.332844091697762E-3</v>
      </c>
    </row>
    <row r="153" spans="1:5" x14ac:dyDescent="0.3">
      <c r="A153" s="78">
        <v>45376</v>
      </c>
      <c r="B153">
        <v>4785.4326171875</v>
      </c>
      <c r="C153">
        <v>22326.900390625</v>
      </c>
      <c r="D153" s="46">
        <v>9.5066341871514748E-3</v>
      </c>
      <c r="E153" s="46">
        <v>1.0415576527091019E-2</v>
      </c>
    </row>
    <row r="154" spans="1:5" x14ac:dyDescent="0.3">
      <c r="A154" s="78">
        <v>45383</v>
      </c>
      <c r="B154">
        <v>4689.74853515625</v>
      </c>
      <c r="C154">
        <v>22513.69921875</v>
      </c>
      <c r="D154" s="46">
        <v>-1.9994865602660061E-2</v>
      </c>
      <c r="E154" s="46">
        <v>8.3665365481468967E-3</v>
      </c>
    </row>
    <row r="155" spans="1:5" x14ac:dyDescent="0.3">
      <c r="A155" s="78">
        <v>45390</v>
      </c>
      <c r="B155">
        <v>4630.01904296875</v>
      </c>
      <c r="C155">
        <v>22519.400390625</v>
      </c>
      <c r="D155" s="46">
        <v>-1.273618227922957E-2</v>
      </c>
      <c r="E155" s="46">
        <v>2.5323123577369882E-4</v>
      </c>
    </row>
    <row r="156" spans="1:5" x14ac:dyDescent="0.3">
      <c r="A156" s="78">
        <v>45397</v>
      </c>
      <c r="B156">
        <v>4548.70654296875</v>
      </c>
      <c r="C156">
        <v>22147</v>
      </c>
      <c r="D156" s="46">
        <v>-1.7562022800636901E-2</v>
      </c>
      <c r="E156" s="46">
        <v>-1.6536869728557831E-2</v>
      </c>
    </row>
    <row r="157" spans="1:5" x14ac:dyDescent="0.3">
      <c r="A157" s="78">
        <v>45404</v>
      </c>
      <c r="B157">
        <v>4677.4716796875</v>
      </c>
      <c r="C157">
        <v>22419.94921875</v>
      </c>
      <c r="D157" s="46">
        <v>2.8308077362737549E-2</v>
      </c>
      <c r="E157" s="46">
        <v>1.232443304962305E-2</v>
      </c>
    </row>
    <row r="158" spans="1:5" x14ac:dyDescent="0.3">
      <c r="A158" s="78">
        <v>45411</v>
      </c>
      <c r="B158">
        <v>4623.0517578125</v>
      </c>
      <c r="C158">
        <v>22475.849609375</v>
      </c>
      <c r="D158" s="46">
        <v>-1.1634473835795739E-2</v>
      </c>
      <c r="E158" s="46">
        <v>2.493332615501664E-3</v>
      </c>
    </row>
    <row r="159" spans="1:5" x14ac:dyDescent="0.3">
      <c r="A159" s="78">
        <v>45418</v>
      </c>
      <c r="B159">
        <v>4936.998046875</v>
      </c>
      <c r="C159">
        <v>22055.19921875</v>
      </c>
      <c r="D159" s="46">
        <v>6.7908884760366828E-2</v>
      </c>
      <c r="E159" s="46">
        <v>-1.871566138481107E-2</v>
      </c>
    </row>
    <row r="160" spans="1:5" x14ac:dyDescent="0.3">
      <c r="A160" s="78">
        <v>45425</v>
      </c>
      <c r="B160">
        <v>4965.49853515625</v>
      </c>
      <c r="C160">
        <v>22466.099609375</v>
      </c>
      <c r="D160" s="46">
        <v>5.7728376658545688E-3</v>
      </c>
      <c r="E160" s="46">
        <v>1.8630545412424929E-2</v>
      </c>
    </row>
    <row r="161" spans="1:5" x14ac:dyDescent="0.3">
      <c r="A161" s="78">
        <v>45432</v>
      </c>
      <c r="B161">
        <v>5106.443359375</v>
      </c>
      <c r="C161">
        <v>22957.099609375</v>
      </c>
      <c r="D161" s="46">
        <v>2.83848284761028E-2</v>
      </c>
      <c r="E161" s="46">
        <v>2.1855151029202661E-2</v>
      </c>
    </row>
    <row r="162" spans="1:5" x14ac:dyDescent="0.3">
      <c r="A162" s="78">
        <v>45439</v>
      </c>
      <c r="B162">
        <v>5047.10302734375</v>
      </c>
      <c r="C162">
        <v>22530.69921875</v>
      </c>
      <c r="D162" s="46">
        <v>-1.162067761356955E-2</v>
      </c>
      <c r="E162" s="46">
        <v>-1.8573791893592321E-2</v>
      </c>
    </row>
    <row r="163" spans="1:5" x14ac:dyDescent="0.3">
      <c r="A163" s="78">
        <v>45446</v>
      </c>
      <c r="B163">
        <v>5323.58349609375</v>
      </c>
      <c r="C163">
        <v>23290.150390625</v>
      </c>
      <c r="D163" s="46">
        <v>5.4780032674607293E-2</v>
      </c>
      <c r="E163" s="46">
        <v>3.3707394719600492E-2</v>
      </c>
    </row>
    <row r="164" spans="1:5" x14ac:dyDescent="0.3">
      <c r="A164" s="78">
        <v>45453</v>
      </c>
      <c r="B164">
        <v>5255.474609375</v>
      </c>
      <c r="C164">
        <v>23465.599609375</v>
      </c>
      <c r="D164" s="46">
        <v>-1.279380454326029E-2</v>
      </c>
      <c r="E164" s="46">
        <v>7.5331938955887079E-3</v>
      </c>
    </row>
    <row r="165" spans="1:5" x14ac:dyDescent="0.3">
      <c r="A165" s="78">
        <v>45460</v>
      </c>
      <c r="B165">
        <v>5193.7470703125</v>
      </c>
      <c r="C165">
        <v>23501.099609375</v>
      </c>
      <c r="D165" s="46">
        <v>-1.1745378610028331E-2</v>
      </c>
      <c r="E165" s="46">
        <v>1.512852882131988E-3</v>
      </c>
    </row>
    <row r="166" spans="1:5" x14ac:dyDescent="0.3">
      <c r="A166" s="78">
        <v>45467</v>
      </c>
      <c r="B166">
        <v>5335.2763671875</v>
      </c>
      <c r="C166">
        <v>24010.599609375</v>
      </c>
      <c r="D166" s="46">
        <v>2.7249940160540831E-2</v>
      </c>
      <c r="E166" s="46">
        <v>2.1679836623336168E-2</v>
      </c>
    </row>
    <row r="167" spans="1:5" x14ac:dyDescent="0.3">
      <c r="A167" s="78">
        <v>45474</v>
      </c>
      <c r="B167">
        <v>5404.70068359375</v>
      </c>
      <c r="C167">
        <v>24323.849609375</v>
      </c>
      <c r="D167" s="46">
        <v>1.301231869322028E-2</v>
      </c>
      <c r="E167" s="46">
        <v>1.304632142038176E-2</v>
      </c>
    </row>
    <row r="168" spans="1:5" x14ac:dyDescent="0.3">
      <c r="A168" s="78">
        <v>45481</v>
      </c>
      <c r="B168">
        <v>5638.79638671875</v>
      </c>
      <c r="C168">
        <v>24502.150390625</v>
      </c>
      <c r="D168" s="46">
        <v>4.3313351992943838E-2</v>
      </c>
      <c r="E168" s="46">
        <v>7.3302862874664587E-3</v>
      </c>
    </row>
    <row r="169" spans="1:5" x14ac:dyDescent="0.3">
      <c r="A169" s="78">
        <v>45488</v>
      </c>
      <c r="B169">
        <v>5727.3681640625</v>
      </c>
      <c r="C169">
        <v>24530.900390625</v>
      </c>
      <c r="D169" s="46">
        <v>1.5707567939918121E-2</v>
      </c>
      <c r="E169" s="46">
        <v>1.173366400158971E-3</v>
      </c>
    </row>
    <row r="170" spans="1:5" x14ac:dyDescent="0.3">
      <c r="A170" s="78">
        <v>45495</v>
      </c>
      <c r="B170">
        <v>5722.349609375</v>
      </c>
      <c r="C170">
        <v>24834.849609375</v>
      </c>
      <c r="D170" s="46">
        <v>-8.7624097905736331E-4</v>
      </c>
      <c r="E170" s="46">
        <v>1.23904632080345E-2</v>
      </c>
    </row>
    <row r="171" spans="1:5" x14ac:dyDescent="0.3">
      <c r="A171" s="78">
        <v>45502</v>
      </c>
      <c r="B171">
        <v>5573.80517578125</v>
      </c>
      <c r="C171">
        <v>24717.69921875</v>
      </c>
      <c r="D171" s="46">
        <v>-2.5958643517758451E-2</v>
      </c>
      <c r="E171" s="46">
        <v>-4.7171773724281607E-3</v>
      </c>
    </row>
    <row r="172" spans="1:5" x14ac:dyDescent="0.3">
      <c r="A172" s="78">
        <v>45509</v>
      </c>
      <c r="B172">
        <v>5593.24365234375</v>
      </c>
      <c r="C172">
        <v>24367.5</v>
      </c>
      <c r="D172" s="46">
        <v>3.487469681746624E-3</v>
      </c>
      <c r="E172" s="46">
        <v>-1.4167953726225041E-2</v>
      </c>
    </row>
    <row r="173" spans="1:5" x14ac:dyDescent="0.3">
      <c r="A173" s="78">
        <v>45516</v>
      </c>
      <c r="B173">
        <v>5655.53369140625</v>
      </c>
      <c r="C173">
        <v>24541.150390625</v>
      </c>
      <c r="D173" s="46">
        <v>1.1136657534380531E-2</v>
      </c>
      <c r="E173" s="46">
        <v>7.126311300913013E-3</v>
      </c>
    </row>
    <row r="174" spans="1:5" x14ac:dyDescent="0.3">
      <c r="A174" s="78">
        <v>45523</v>
      </c>
      <c r="B174">
        <v>5717.71875</v>
      </c>
      <c r="C174">
        <v>24823.150390625</v>
      </c>
      <c r="D174" s="46">
        <v>1.099543597242514E-2</v>
      </c>
      <c r="E174" s="46">
        <v>1.1490903870086109E-2</v>
      </c>
    </row>
    <row r="175" spans="1:5" x14ac:dyDescent="0.3">
      <c r="A175" s="78">
        <v>45530</v>
      </c>
      <c r="B175">
        <v>5779.50927734375</v>
      </c>
      <c r="C175">
        <v>25235.900390625</v>
      </c>
      <c r="D175" s="46">
        <v>1.080684973246537E-2</v>
      </c>
      <c r="E175" s="46">
        <v>1.6627623549180241E-2</v>
      </c>
    </row>
    <row r="176" spans="1:5" x14ac:dyDescent="0.3">
      <c r="A176" s="78">
        <v>45537</v>
      </c>
      <c r="B176">
        <v>5767.96044921875</v>
      </c>
      <c r="C176">
        <v>24852.150390625</v>
      </c>
      <c r="D176" s="46">
        <v>-1.998236800185182E-3</v>
      </c>
      <c r="E176" s="46">
        <v>-1.520651112343752E-2</v>
      </c>
    </row>
    <row r="177" spans="1:5" x14ac:dyDescent="0.3">
      <c r="A177" s="78">
        <v>45544</v>
      </c>
      <c r="B177">
        <v>6053.76513671875</v>
      </c>
      <c r="C177">
        <v>25356.5</v>
      </c>
      <c r="D177" s="46">
        <v>4.9550389607597063E-2</v>
      </c>
      <c r="E177" s="46">
        <v>2.0294002790408609E-2</v>
      </c>
    </row>
    <row r="178" spans="1:5" x14ac:dyDescent="0.3">
      <c r="A178" s="78">
        <v>45551</v>
      </c>
      <c r="B178">
        <v>6130.212890625</v>
      </c>
      <c r="C178">
        <v>25790.94921875</v>
      </c>
      <c r="D178" s="46">
        <v>1.2628133430971911E-2</v>
      </c>
      <c r="E178" s="46">
        <v>1.7133643000808441E-2</v>
      </c>
    </row>
    <row r="179" spans="1:5" x14ac:dyDescent="0.3">
      <c r="A179" s="78">
        <v>45558</v>
      </c>
      <c r="B179">
        <v>6187.70947265625</v>
      </c>
      <c r="C179">
        <v>26178.94921875</v>
      </c>
      <c r="D179" s="46">
        <v>9.3792145651547809E-3</v>
      </c>
      <c r="E179" s="46">
        <v>1.5044037220542711E-2</v>
      </c>
    </row>
    <row r="180" spans="1:5" x14ac:dyDescent="0.3">
      <c r="A180" s="78">
        <v>45565</v>
      </c>
      <c r="B180">
        <v>6125.72216796875</v>
      </c>
      <c r="C180">
        <v>25014.599609375</v>
      </c>
      <c r="D180" s="46">
        <v>-1.001781110787836E-2</v>
      </c>
      <c r="E180" s="46">
        <v>-4.4476560141728849E-2</v>
      </c>
    </row>
    <row r="181" spans="1:5" x14ac:dyDescent="0.3">
      <c r="A181" s="78">
        <v>45572</v>
      </c>
      <c r="B181">
        <v>5901.1650390625</v>
      </c>
      <c r="C181">
        <v>24964.25</v>
      </c>
      <c r="D181" s="46">
        <v>-3.6658066224494079E-2</v>
      </c>
      <c r="E181" s="46">
        <v>-2.012808926037279E-3</v>
      </c>
    </row>
    <row r="182" spans="1:5" x14ac:dyDescent="0.3">
      <c r="A182" s="78">
        <v>45579</v>
      </c>
      <c r="B182">
        <v>5811.04638671875</v>
      </c>
      <c r="C182">
        <v>24854.05078125</v>
      </c>
      <c r="D182" s="46">
        <v>-1.5271332312723601E-2</v>
      </c>
      <c r="E182" s="46">
        <v>-4.4142811720760946E-3</v>
      </c>
    </row>
    <row r="183" spans="1:5" x14ac:dyDescent="0.3">
      <c r="A183" s="78">
        <v>45586</v>
      </c>
      <c r="B183">
        <v>5596.0634765625</v>
      </c>
      <c r="C183">
        <v>24180.80078125</v>
      </c>
      <c r="D183" s="46">
        <v>-3.6995559121262067E-2</v>
      </c>
      <c r="E183" s="46">
        <v>-2.708813971314095E-2</v>
      </c>
    </row>
    <row r="184" spans="1:5" x14ac:dyDescent="0.3">
      <c r="A184" s="78">
        <v>45593</v>
      </c>
      <c r="B184">
        <v>5619.4072265625</v>
      </c>
      <c r="C184">
        <v>24304.349609375</v>
      </c>
      <c r="D184" s="46">
        <v>4.1714591154600189E-3</v>
      </c>
      <c r="E184" s="46">
        <v>5.1093770319137199E-3</v>
      </c>
    </row>
    <row r="185" spans="1:5" x14ac:dyDescent="0.3">
      <c r="A185" s="78">
        <v>45600</v>
      </c>
      <c r="B185">
        <v>5672.8076171875</v>
      </c>
      <c r="C185">
        <v>24148.19921875</v>
      </c>
      <c r="D185" s="46">
        <v>9.5028511855450581E-3</v>
      </c>
      <c r="E185" s="46">
        <v>-6.424791987223899E-3</v>
      </c>
    </row>
    <row r="186" spans="1:5" x14ac:dyDescent="0.3">
      <c r="A186" s="78">
        <v>45607</v>
      </c>
      <c r="B186">
        <v>4852.01416015625</v>
      </c>
      <c r="C186">
        <v>23532.69921875</v>
      </c>
      <c r="D186" s="46">
        <v>-0.14468910501114229</v>
      </c>
      <c r="E186" s="46">
        <v>-2.5488443027341431E-2</v>
      </c>
    </row>
    <row r="187" spans="1:5" x14ac:dyDescent="0.3">
      <c r="A187" s="78">
        <v>45614</v>
      </c>
      <c r="B187">
        <v>4785.63427734375</v>
      </c>
      <c r="C187">
        <v>23907.25</v>
      </c>
      <c r="D187" s="46">
        <v>-1.368089222772639E-2</v>
      </c>
      <c r="E187" s="46">
        <v>1.591618444481591E-2</v>
      </c>
    </row>
    <row r="188" spans="1:5" x14ac:dyDescent="0.3">
      <c r="A188" s="78">
        <v>45621</v>
      </c>
      <c r="B188">
        <v>4877.2333984375</v>
      </c>
      <c r="C188">
        <v>24131.099609375</v>
      </c>
      <c r="D188" s="46">
        <v>1.9140434848396341E-2</v>
      </c>
      <c r="E188" s="46">
        <v>9.3632521254012335E-3</v>
      </c>
    </row>
    <row r="189" spans="1:5" x14ac:dyDescent="0.3">
      <c r="A189" s="78">
        <v>45628</v>
      </c>
      <c r="B189">
        <v>4807.84326171875</v>
      </c>
      <c r="C189">
        <v>24677.80078125</v>
      </c>
      <c r="D189" s="46">
        <v>-1.4227356177168081E-2</v>
      </c>
      <c r="E189" s="46">
        <v>2.2655460411037609E-2</v>
      </c>
    </row>
    <row r="190" spans="1:5" x14ac:dyDescent="0.3">
      <c r="A190" s="78">
        <v>45635</v>
      </c>
      <c r="B190">
        <v>4787.361328125</v>
      </c>
      <c r="C190">
        <v>24768.30078125</v>
      </c>
      <c r="D190" s="46">
        <v>-4.2601084267518408E-3</v>
      </c>
      <c r="E190" s="46">
        <v>3.667263578396307E-3</v>
      </c>
    </row>
    <row r="191" spans="1:5" x14ac:dyDescent="0.3">
      <c r="A191" s="78">
        <v>45642</v>
      </c>
      <c r="B191">
        <v>4637.32763671875</v>
      </c>
      <c r="C191">
        <v>23587.5</v>
      </c>
      <c r="D191" s="46">
        <v>-3.1339537821142849E-2</v>
      </c>
      <c r="E191" s="46">
        <v>-4.7673871198458888E-2</v>
      </c>
    </row>
    <row r="192" spans="1:5" x14ac:dyDescent="0.3">
      <c r="A192" s="78">
        <v>45649</v>
      </c>
      <c r="B192">
        <v>4707.6064453125</v>
      </c>
      <c r="C192">
        <v>23813.400390625</v>
      </c>
      <c r="D192" s="46">
        <v>1.515502334518626E-2</v>
      </c>
      <c r="E192" s="46">
        <v>9.5771230789614137E-3</v>
      </c>
    </row>
    <row r="193" spans="1:5" x14ac:dyDescent="0.3">
      <c r="A193" s="78">
        <v>45656</v>
      </c>
      <c r="B193">
        <v>4771.568359375</v>
      </c>
      <c r="C193">
        <v>24004.75</v>
      </c>
      <c r="D193" s="46">
        <v>1.3586928900182199E-2</v>
      </c>
      <c r="E193" s="46">
        <v>8.0353753028203911E-3</v>
      </c>
    </row>
    <row r="194" spans="1:5" x14ac:dyDescent="0.3">
      <c r="A194" s="78">
        <v>45663</v>
      </c>
      <c r="B194">
        <v>4875.30908203125</v>
      </c>
      <c r="C194">
        <v>23431.5</v>
      </c>
      <c r="D194" s="46">
        <v>2.1741430666590841E-2</v>
      </c>
      <c r="E194" s="46">
        <v>-2.3880690280048689E-2</v>
      </c>
    </row>
    <row r="195" spans="1:5" x14ac:dyDescent="0.3">
      <c r="A195" s="78">
        <v>45670</v>
      </c>
      <c r="B195">
        <v>4791.60595703125</v>
      </c>
      <c r="C195">
        <v>23203.19921875</v>
      </c>
      <c r="D195" s="46">
        <v>-1.7168783269249869E-2</v>
      </c>
      <c r="E195" s="46">
        <v>-9.7433276252053558E-3</v>
      </c>
    </row>
    <row r="196" spans="1:5" x14ac:dyDescent="0.3">
      <c r="A196" s="78">
        <v>45677</v>
      </c>
      <c r="B196">
        <v>5035.55859375</v>
      </c>
      <c r="C196">
        <v>23092.19921875</v>
      </c>
      <c r="D196" s="46">
        <v>5.0912499672635107E-2</v>
      </c>
      <c r="E196" s="46">
        <v>-4.7838230820473893E-3</v>
      </c>
    </row>
    <row r="197" spans="1:5" x14ac:dyDescent="0.3">
      <c r="A197" s="78">
        <v>45684</v>
      </c>
      <c r="B197">
        <v>5134.06787109375</v>
      </c>
      <c r="C197">
        <v>23482.150390625</v>
      </c>
      <c r="D197" s="46">
        <v>1.9562730829111311E-2</v>
      </c>
      <c r="E197" s="46">
        <v>1.688670568710382E-2</v>
      </c>
    </row>
    <row r="198" spans="1:5" x14ac:dyDescent="0.3">
      <c r="A198" s="78">
        <v>45691</v>
      </c>
      <c r="B198">
        <v>4807.49755859375</v>
      </c>
      <c r="C198">
        <v>23559.94921875</v>
      </c>
      <c r="D198" s="46">
        <v>-6.360849149242509E-2</v>
      </c>
      <c r="E198" s="46">
        <v>3.313104925691146E-3</v>
      </c>
    </row>
    <row r="199" spans="1:5" x14ac:dyDescent="0.3">
      <c r="A199" s="78">
        <v>45698</v>
      </c>
      <c r="B199">
        <v>4875.7529296875</v>
      </c>
      <c r="C199">
        <v>22929.25</v>
      </c>
      <c r="D199" s="46">
        <v>1.4197692304957821E-2</v>
      </c>
      <c r="E199" s="46">
        <v>-2.6769973606227571E-2</v>
      </c>
    </row>
    <row r="200" spans="1:5" x14ac:dyDescent="0.3">
      <c r="A200" s="78">
        <v>45705</v>
      </c>
      <c r="B200">
        <v>4769.39697265625</v>
      </c>
      <c r="C200">
        <v>22795.900390625</v>
      </c>
      <c r="D200" s="46">
        <v>-2.1813237578891531E-2</v>
      </c>
      <c r="E200" s="46">
        <v>-5.8156986981693359E-3</v>
      </c>
    </row>
    <row r="201" spans="1:5" x14ac:dyDescent="0.3">
      <c r="A201" s="78">
        <v>45712</v>
      </c>
      <c r="B201">
        <v>4536.005859375</v>
      </c>
      <c r="C201">
        <v>22124.69921875</v>
      </c>
      <c r="D201" s="46">
        <v>-4.8935140987282133E-2</v>
      </c>
      <c r="E201" s="46">
        <v>-2.9443942128780209E-2</v>
      </c>
    </row>
    <row r="202" spans="1:5" x14ac:dyDescent="0.3">
      <c r="A202" s="78">
        <v>45719</v>
      </c>
      <c r="B202">
        <v>4686.8291015625</v>
      </c>
      <c r="C202">
        <v>22552.5</v>
      </c>
      <c r="D202" s="46">
        <v>3.3250230899896087E-2</v>
      </c>
      <c r="E202" s="46">
        <v>1.9335891395416249E-2</v>
      </c>
    </row>
    <row r="203" spans="1:5" x14ac:dyDescent="0.3">
      <c r="A203" s="78">
        <v>45726</v>
      </c>
      <c r="B203">
        <v>4667.08740234375</v>
      </c>
      <c r="C203">
        <v>22397.19921875</v>
      </c>
      <c r="D203" s="46">
        <v>-4.2121653661680858E-3</v>
      </c>
      <c r="E203" s="46">
        <v>-6.8861891697150623E-3</v>
      </c>
    </row>
    <row r="204" spans="1:5" x14ac:dyDescent="0.3">
      <c r="A204" s="78">
        <v>45733</v>
      </c>
      <c r="B204">
        <v>4751.728515625</v>
      </c>
      <c r="C204">
        <v>23350.400390625</v>
      </c>
      <c r="D204" s="46">
        <v>1.8135746341228609E-2</v>
      </c>
      <c r="E204" s="46">
        <v>4.2558945096895062E-2</v>
      </c>
    </row>
    <row r="205" spans="1:5" x14ac:dyDescent="0.3">
      <c r="A205" s="78">
        <v>45740</v>
      </c>
      <c r="B205">
        <v>4873.03857421875</v>
      </c>
      <c r="C205">
        <v>23519.349609375</v>
      </c>
      <c r="D205" s="46">
        <v>2.5529669507601049E-2</v>
      </c>
      <c r="E205" s="46">
        <v>7.2353885125597817E-3</v>
      </c>
    </row>
    <row r="206" spans="1:5" x14ac:dyDescent="0.3">
      <c r="A206" s="78">
        <v>45747</v>
      </c>
      <c r="B206">
        <v>4958.41943359375</v>
      </c>
      <c r="C206">
        <v>22904.44921875</v>
      </c>
      <c r="D206" s="46">
        <v>1.7521071929681661E-2</v>
      </c>
      <c r="E206" s="46">
        <v>-2.614444705477292E-2</v>
      </c>
    </row>
    <row r="207" spans="1:5" x14ac:dyDescent="0.3">
      <c r="A207" s="78">
        <v>45754</v>
      </c>
      <c r="B207">
        <v>5280.99267578125</v>
      </c>
      <c r="C207">
        <v>22828.55078125</v>
      </c>
      <c r="D207" s="46">
        <v>6.505565866454055E-2</v>
      </c>
      <c r="E207" s="46">
        <v>-3.3136984336592512E-3</v>
      </c>
    </row>
    <row r="208" spans="1:5" x14ac:dyDescent="0.3">
      <c r="A208" s="78">
        <v>45761</v>
      </c>
      <c r="B208">
        <v>5384.0419921875</v>
      </c>
      <c r="C208">
        <v>23851.650390625</v>
      </c>
      <c r="D208" s="46">
        <v>1.9513247363291519E-2</v>
      </c>
      <c r="E208" s="46">
        <v>4.4816669230502093E-2</v>
      </c>
    </row>
    <row r="209" spans="1:5" x14ac:dyDescent="0.3">
      <c r="A209" s="78">
        <v>45768</v>
      </c>
      <c r="B209">
        <v>5350.3828125</v>
      </c>
      <c r="C209">
        <v>24039.349609375</v>
      </c>
      <c r="D209" s="46">
        <v>-6.251656234542935E-3</v>
      </c>
      <c r="E209" s="46">
        <v>7.8694436517390276E-3</v>
      </c>
    </row>
    <row r="210" spans="1:5" x14ac:dyDescent="0.3">
      <c r="A210" s="78">
        <v>45775</v>
      </c>
      <c r="B210">
        <v>5232.4287109375</v>
      </c>
      <c r="C210">
        <v>24346.69921875</v>
      </c>
      <c r="D210" s="46">
        <v>-2.2045918151300529E-2</v>
      </c>
      <c r="E210" s="46">
        <v>1.278527141412922E-2</v>
      </c>
    </row>
    <row r="211" spans="1:5" x14ac:dyDescent="0.3">
      <c r="A211" s="78">
        <v>45782</v>
      </c>
      <c r="B211">
        <v>5365.6826171875</v>
      </c>
      <c r="C211">
        <v>24008</v>
      </c>
      <c r="D211" s="46">
        <v>2.5466932014086559E-2</v>
      </c>
      <c r="E211" s="46">
        <v>-1.391150462355728E-2</v>
      </c>
    </row>
    <row r="212" spans="1:5" x14ac:dyDescent="0.3">
      <c r="A212" s="78">
        <v>45789</v>
      </c>
      <c r="B212">
        <v>5430.33544921875</v>
      </c>
      <c r="C212">
        <v>25019.80078125</v>
      </c>
      <c r="D212" s="46">
        <v>1.2049320961353921E-2</v>
      </c>
      <c r="E212" s="46">
        <v>4.2144317779490237E-2</v>
      </c>
    </row>
    <row r="213" spans="1:5" x14ac:dyDescent="0.3">
      <c r="A213" s="78">
        <v>45796</v>
      </c>
      <c r="B213">
        <v>5415.529296875</v>
      </c>
      <c r="C213">
        <v>24853.150390625</v>
      </c>
      <c r="D213" s="46">
        <v>-2.726563116074221E-3</v>
      </c>
      <c r="E213" s="46">
        <v>-6.6607401106841824E-3</v>
      </c>
    </row>
    <row r="214" spans="1:5" x14ac:dyDescent="0.3">
      <c r="A214" s="78">
        <v>45803</v>
      </c>
      <c r="B214">
        <v>5439.21875</v>
      </c>
      <c r="C214">
        <v>24750.69921875</v>
      </c>
      <c r="D214" s="46">
        <v>4.374356009609226E-3</v>
      </c>
      <c r="E214" s="46">
        <v>-4.1222609715364511E-3</v>
      </c>
    </row>
    <row r="215" spans="1:5" x14ac:dyDescent="0.3">
      <c r="A215" s="78">
        <v>45810</v>
      </c>
      <c r="B215">
        <v>5534.9638671875</v>
      </c>
      <c r="C215">
        <v>25003.05078125</v>
      </c>
      <c r="D215" s="46">
        <v>1.7602733331418149E-2</v>
      </c>
      <c r="E215" s="46">
        <v>1.0195734684894431E-2</v>
      </c>
    </row>
    <row r="216" spans="1:5" x14ac:dyDescent="0.3">
      <c r="A216" s="78">
        <v>45817</v>
      </c>
      <c r="B216">
        <v>5497.94921875</v>
      </c>
      <c r="C216">
        <v>24718.599609375</v>
      </c>
      <c r="D216" s="46">
        <v>-6.6874236807454857E-3</v>
      </c>
      <c r="E216" s="46">
        <v>-1.1376658567134211E-2</v>
      </c>
    </row>
    <row r="217" spans="1:5" x14ac:dyDescent="0.3">
      <c r="A217" s="78">
        <v>45824</v>
      </c>
      <c r="B217">
        <v>5514.7294921875</v>
      </c>
      <c r="C217">
        <v>25112.400390625</v>
      </c>
      <c r="D217" s="46">
        <v>3.0520968400860049E-3</v>
      </c>
      <c r="E217" s="46">
        <v>1.5931354828881309E-2</v>
      </c>
    </row>
    <row r="218" spans="1:5" x14ac:dyDescent="0.3">
      <c r="A218" s="78">
        <v>45831</v>
      </c>
      <c r="B218">
        <v>5719.544921875</v>
      </c>
      <c r="C218">
        <v>25637.80078125</v>
      </c>
      <c r="D218" s="46">
        <v>3.713970557896884E-2</v>
      </c>
      <c r="E218" s="46">
        <v>2.092195020995069E-2</v>
      </c>
    </row>
    <row r="219" spans="1:5" x14ac:dyDescent="0.3">
      <c r="A219" s="78">
        <v>45838</v>
      </c>
      <c r="B219">
        <v>5696.8427734375</v>
      </c>
      <c r="C219">
        <v>25461</v>
      </c>
      <c r="D219" s="46">
        <v>-3.9692228573419142E-3</v>
      </c>
      <c r="E219" s="46">
        <v>-6.896097787736255E-3</v>
      </c>
    </row>
    <row r="220" spans="1:5" x14ac:dyDescent="0.3">
      <c r="A220" s="78">
        <v>45845</v>
      </c>
      <c r="B220">
        <v>5684.0107421875</v>
      </c>
      <c r="C220">
        <v>25149.849609375</v>
      </c>
      <c r="D220" s="46">
        <v>-2.252481200610168E-3</v>
      </c>
      <c r="E220" s="46">
        <v>-1.2220666534111021E-2</v>
      </c>
    </row>
    <row r="221" spans="1:5" x14ac:dyDescent="0.3">
      <c r="A221" s="78">
        <v>45852</v>
      </c>
      <c r="B221">
        <v>5661.30810546875</v>
      </c>
      <c r="C221">
        <v>24968.400390625</v>
      </c>
      <c r="D221" s="46">
        <v>-3.994122767968733E-3</v>
      </c>
      <c r="E221" s="46">
        <v>-7.2147238082235221E-3</v>
      </c>
    </row>
    <row r="222" spans="1:5" x14ac:dyDescent="0.3">
      <c r="A222" s="78">
        <v>45859</v>
      </c>
      <c r="B222">
        <v>5521.638671875</v>
      </c>
      <c r="C222">
        <v>24837</v>
      </c>
      <c r="D222" s="46">
        <v>-2.467087658748535E-2</v>
      </c>
      <c r="E222" s="46">
        <v>-5.2626675545597301E-3</v>
      </c>
    </row>
    <row r="223" spans="1:5" x14ac:dyDescent="0.3">
      <c r="A223" s="78">
        <v>45866</v>
      </c>
      <c r="B223">
        <v>5723</v>
      </c>
      <c r="C223">
        <v>24565.349609375</v>
      </c>
      <c r="D223" s="46">
        <v>3.6467675646842501E-2</v>
      </c>
      <c r="E223" s="46">
        <v>-1.093732699702055E-2</v>
      </c>
    </row>
    <row r="224" spans="1:5" x14ac:dyDescent="0.3">
      <c r="A224" s="78">
        <v>45873</v>
      </c>
      <c r="B224">
        <v>5317.31640625</v>
      </c>
      <c r="C224">
        <v>24363.30078125</v>
      </c>
      <c r="D224" s="46">
        <v>-7.0886526952647189E-2</v>
      </c>
      <c r="E224" s="46">
        <v>-8.2249522737462E-3</v>
      </c>
    </row>
    <row r="225" spans="1:5" x14ac:dyDescent="0.3">
      <c r="A225" s="78">
        <v>45880</v>
      </c>
      <c r="B225">
        <v>5302.5</v>
      </c>
      <c r="C225">
        <v>24631.30078125</v>
      </c>
      <c r="D225" s="46">
        <v>-2.786444348616302E-3</v>
      </c>
      <c r="E225" s="46">
        <v>1.100015151502998E-2</v>
      </c>
    </row>
    <row r="226" spans="1:5" x14ac:dyDescent="0.3">
      <c r="A226" s="78">
        <v>45887</v>
      </c>
      <c r="B226">
        <v>5545.5</v>
      </c>
      <c r="C226">
        <v>24870.099609375</v>
      </c>
      <c r="D226" s="46">
        <v>4.58274398868459E-2</v>
      </c>
      <c r="E226" s="46">
        <v>9.6949337043044093E-3</v>
      </c>
    </row>
    <row r="227" spans="1:5" x14ac:dyDescent="0.3">
      <c r="A227" s="78">
        <v>45894</v>
      </c>
      <c r="B227">
        <v>5824</v>
      </c>
      <c r="C227">
        <v>24426.849609375</v>
      </c>
      <c r="D227" s="46">
        <v>5.0220899828689942E-2</v>
      </c>
      <c r="E227" s="46">
        <v>-1.7822606542070799E-2</v>
      </c>
    </row>
    <row r="228" spans="1:5" x14ac:dyDescent="0.3">
      <c r="A228" s="78">
        <v>45901</v>
      </c>
      <c r="B228">
        <v>6076</v>
      </c>
      <c r="C228">
        <v>24741</v>
      </c>
      <c r="D228" s="46">
        <v>4.3269230769230838E-2</v>
      </c>
      <c r="E228" s="46">
        <v>1.286086399387454E-2</v>
      </c>
    </row>
    <row r="229" spans="1:5" x14ac:dyDescent="0.3">
      <c r="A229" s="78">
        <v>45908</v>
      </c>
      <c r="B229">
        <v>6247</v>
      </c>
      <c r="C229">
        <v>25114</v>
      </c>
      <c r="D229" s="46">
        <v>2.8143515470704369E-2</v>
      </c>
      <c r="E229" s="46">
        <v>1.5076189321369339E-2</v>
      </c>
    </row>
    <row r="230" spans="1:5" x14ac:dyDescent="0.3">
      <c r="A230" s="78">
        <v>45915</v>
      </c>
      <c r="B230">
        <v>6069.5</v>
      </c>
      <c r="C230">
        <v>25327.05078125</v>
      </c>
      <c r="D230" s="46">
        <v>-2.8413638546502359E-2</v>
      </c>
      <c r="E230" s="46">
        <v>8.483347186827972E-3</v>
      </c>
    </row>
    <row r="231" spans="1:5" x14ac:dyDescent="0.3">
      <c r="A231" s="78">
        <v>45922</v>
      </c>
      <c r="B231">
        <v>5920.5</v>
      </c>
      <c r="C231">
        <v>24654.69921875</v>
      </c>
      <c r="D231" s="46">
        <v>-2.4548974380097181E-2</v>
      </c>
      <c r="E231" s="46">
        <v>-2.6546776737138011E-2</v>
      </c>
    </row>
    <row r="232" spans="1:5" x14ac:dyDescent="0.3">
      <c r="A232" s="78">
        <v>45929</v>
      </c>
      <c r="B232">
        <v>5992.5</v>
      </c>
      <c r="C232">
        <v>24894.25</v>
      </c>
      <c r="D232" s="46">
        <v>1.2161135039270301E-2</v>
      </c>
      <c r="E232" s="46">
        <v>9.7162321521173656E-3</v>
      </c>
    </row>
    <row r="233" spans="1:5" x14ac:dyDescent="0.3">
      <c r="A233" s="78">
        <v>45936</v>
      </c>
      <c r="B233">
        <v>5871.5</v>
      </c>
      <c r="C233">
        <v>25285.349609375</v>
      </c>
      <c r="D233" s="46">
        <v>-2.0191906549854029E-2</v>
      </c>
      <c r="E233" s="46">
        <v>1.5710439534229789E-2</v>
      </c>
    </row>
    <row r="234" spans="1:5" x14ac:dyDescent="0.3">
      <c r="A234" s="78">
        <v>45943</v>
      </c>
      <c r="B234">
        <v>6083</v>
      </c>
      <c r="C234">
        <v>25709.849609375</v>
      </c>
      <c r="D234" s="46">
        <v>3.602145959294889E-2</v>
      </c>
      <c r="E234" s="46">
        <v>1.6788377719033409E-2</v>
      </c>
    </row>
    <row r="235" spans="1:5" x14ac:dyDescent="0.3">
      <c r="A235" s="78">
        <v>45950</v>
      </c>
      <c r="B235">
        <v>6053</v>
      </c>
      <c r="C235">
        <v>25795.150390625</v>
      </c>
      <c r="D235" s="46">
        <v>-4.9317770836758701E-3</v>
      </c>
      <c r="E235" s="46">
        <v>3.317824979376605E-3</v>
      </c>
    </row>
    <row r="236" spans="1:5" x14ac:dyDescent="0.3">
      <c r="A236" s="78">
        <v>45957</v>
      </c>
      <c r="B236">
        <v>5836.5</v>
      </c>
      <c r="C236">
        <v>25722.099609375</v>
      </c>
      <c r="D236" s="46">
        <v>-3.5767388072030393E-2</v>
      </c>
      <c r="E236" s="46">
        <v>-2.831957951156205E-3</v>
      </c>
    </row>
    <row r="237" spans="1:5" x14ac:dyDescent="0.3">
      <c r="A237" s="78">
        <v>45964</v>
      </c>
      <c r="B237">
        <v>6157.5</v>
      </c>
      <c r="C237">
        <v>25492.30078125</v>
      </c>
      <c r="D237" s="46">
        <v>5.4998714983294672E-2</v>
      </c>
      <c r="E237" s="46">
        <v>-8.9339063146013364E-3</v>
      </c>
    </row>
    <row r="238" spans="1:5" x14ac:dyDescent="0.3">
      <c r="A238" s="78">
        <v>45971</v>
      </c>
      <c r="B238">
        <v>5803.5</v>
      </c>
      <c r="C238">
        <v>25910.05078125</v>
      </c>
      <c r="D238" s="46">
        <v>-5.7490864799025543E-2</v>
      </c>
      <c r="E238" s="46">
        <v>1.638730076130512E-2</v>
      </c>
    </row>
    <row r="239" spans="1:5" x14ac:dyDescent="0.3">
      <c r="A239" s="78">
        <v>45978</v>
      </c>
      <c r="B239">
        <v>5813</v>
      </c>
      <c r="C239">
        <v>26068.150390625</v>
      </c>
      <c r="D239" s="46">
        <v>1.6369432239164981E-3</v>
      </c>
      <c r="E239" s="46">
        <v>6.1018641263879134E-3</v>
      </c>
    </row>
    <row r="240" spans="1:5" x14ac:dyDescent="0.3">
      <c r="A240" s="78">
        <v>45985</v>
      </c>
      <c r="B240">
        <v>5846</v>
      </c>
      <c r="C240">
        <v>26202.94921875</v>
      </c>
      <c r="D240" s="46">
        <v>5.6769310166866482E-3</v>
      </c>
      <c r="E240" s="46">
        <v>5.1710162057940767E-3</v>
      </c>
    </row>
    <row r="241" spans="1:5" x14ac:dyDescent="0.3">
      <c r="A241" s="78">
        <v>45992</v>
      </c>
      <c r="B241">
        <v>5961</v>
      </c>
      <c r="C241">
        <v>26186.44921875</v>
      </c>
      <c r="D241" s="46">
        <v>1.967157030448163E-2</v>
      </c>
      <c r="E241" s="46">
        <v>-6.2970010979501723E-4</v>
      </c>
    </row>
    <row r="242" spans="1:5" x14ac:dyDescent="0.3">
      <c r="A242" s="78">
        <v>45999</v>
      </c>
      <c r="B242">
        <v>5915.5</v>
      </c>
      <c r="C242">
        <v>26046.94921875</v>
      </c>
      <c r="D242" s="46">
        <v>-7.6329474920315832E-3</v>
      </c>
      <c r="E242" s="46">
        <v>-5.3271827285432671E-3</v>
      </c>
    </row>
    <row r="243" spans="1:5" x14ac:dyDescent="0.3">
      <c r="A243" s="78">
        <v>46006</v>
      </c>
      <c r="B243">
        <v>6103</v>
      </c>
      <c r="C243">
        <v>25966.400390625</v>
      </c>
      <c r="D243" s="46">
        <v>3.1696390837629977E-2</v>
      </c>
      <c r="E243" s="46">
        <v>-3.0924476969846899E-3</v>
      </c>
    </row>
    <row r="244" spans="1:5" x14ac:dyDescent="0.3">
      <c r="A244" s="78">
        <v>46013</v>
      </c>
      <c r="B244">
        <v>6032.5</v>
      </c>
      <c r="C244">
        <v>26042.30078125</v>
      </c>
      <c r="D244" s="46">
        <v>-1.155169588726856E-2</v>
      </c>
      <c r="E244" s="46">
        <v>2.9230231947130481E-3</v>
      </c>
    </row>
    <row r="245" spans="1:5" x14ac:dyDescent="0.3">
      <c r="A245" s="78">
        <v>46020</v>
      </c>
      <c r="B245">
        <v>5984.5</v>
      </c>
      <c r="C245">
        <v>26328.55078125</v>
      </c>
      <c r="D245" s="46">
        <v>-7.9569001243265935E-3</v>
      </c>
      <c r="E245" s="46">
        <v>1.099173235131734E-2</v>
      </c>
    </row>
    <row r="246" spans="1:5" x14ac:dyDescent="0.3">
      <c r="A246" s="78">
        <v>46027</v>
      </c>
      <c r="B246">
        <v>5977.5</v>
      </c>
      <c r="C246">
        <v>25683.30078125</v>
      </c>
      <c r="D246" s="46">
        <v>-1.1696883616008069E-3</v>
      </c>
      <c r="E246" s="46">
        <v>-2.4507615529659851E-2</v>
      </c>
    </row>
    <row r="247" spans="1:5" x14ac:dyDescent="0.3">
      <c r="A247" s="78">
        <v>46034</v>
      </c>
      <c r="B247">
        <v>5898.5</v>
      </c>
      <c r="C247">
        <v>25694.349609375</v>
      </c>
      <c r="D247" s="46">
        <v>-1.321622751986617E-2</v>
      </c>
      <c r="E247" s="46">
        <v>4.3019502123597952E-4</v>
      </c>
    </row>
    <row r="248" spans="1:5" x14ac:dyDescent="0.3">
      <c r="A248" s="78">
        <v>46041</v>
      </c>
      <c r="B248">
        <v>5835</v>
      </c>
      <c r="C248">
        <v>25048.650390625</v>
      </c>
      <c r="D248" s="46">
        <v>-1.0765448842926181E-2</v>
      </c>
      <c r="E248" s="46">
        <v>-2.51300082923448E-2</v>
      </c>
    </row>
    <row r="249" spans="1:5" x14ac:dyDescent="0.3">
      <c r="A249" s="78">
        <v>46048</v>
      </c>
      <c r="B249">
        <v>5757.5</v>
      </c>
      <c r="C249">
        <v>24825.44921875</v>
      </c>
      <c r="D249" s="46">
        <v>-1.32819194515853E-2</v>
      </c>
      <c r="E249" s="46">
        <v>-8.9107065009194075E-3</v>
      </c>
    </row>
    <row r="250" spans="1:5" x14ac:dyDescent="0.3">
      <c r="A250" s="78">
        <v>46055</v>
      </c>
      <c r="B250">
        <v>5911</v>
      </c>
      <c r="C250">
        <v>25693.69921875</v>
      </c>
      <c r="D250" s="46">
        <v>2.6660877116804201E-2</v>
      </c>
      <c r="E250" s="46">
        <v>3.4974190893763753E-2</v>
      </c>
    </row>
    <row r="251" spans="1:5" x14ac:dyDescent="0.3">
      <c r="A251" s="78">
        <v>46062</v>
      </c>
      <c r="B251">
        <v>5980.5</v>
      </c>
      <c r="C251">
        <v>25471.099609375</v>
      </c>
      <c r="D251" s="46">
        <v>1.1757739807139121E-2</v>
      </c>
      <c r="E251" s="46">
        <v>-8.6635874219527231E-3</v>
      </c>
    </row>
    <row r="252" spans="1:5" x14ac:dyDescent="0.3">
      <c r="A252" s="78">
        <v>46069</v>
      </c>
      <c r="B252">
        <v>6098.5</v>
      </c>
      <c r="C252">
        <v>25571.25</v>
      </c>
      <c r="D252" s="46">
        <v>1.973079173982106E-2</v>
      </c>
      <c r="E252" s="46">
        <v>3.9319225381277967E-3</v>
      </c>
    </row>
    <row r="253" spans="1:5" x14ac:dyDescent="0.3">
      <c r="A253" s="78">
        <v>46076</v>
      </c>
      <c r="B253">
        <v>6002.5</v>
      </c>
      <c r="C253">
        <v>25178.650390625</v>
      </c>
      <c r="D253" s="46">
        <v>-1.574157579732716E-2</v>
      </c>
      <c r="E253" s="46">
        <v>-1.535316456469671E-2</v>
      </c>
    </row>
    <row r="254" spans="1:5" x14ac:dyDescent="0.3">
      <c r="A254" s="78">
        <v>46083</v>
      </c>
      <c r="B254">
        <v>5983</v>
      </c>
      <c r="C254">
        <v>24450.44921875</v>
      </c>
      <c r="D254" s="46">
        <v>-3.2486463973344648E-3</v>
      </c>
      <c r="E254" s="46">
        <v>-2.8921374282480872E-2</v>
      </c>
    </row>
    <row r="255" spans="1:5" x14ac:dyDescent="0.3">
      <c r="A255" s="78">
        <v>46090</v>
      </c>
      <c r="B255">
        <v>5808.5</v>
      </c>
      <c r="C255">
        <v>23151.099609375</v>
      </c>
      <c r="D255" s="46">
        <v>-2.9165970249039001E-2</v>
      </c>
      <c r="E255" s="46">
        <v>-5.3142156929312567E-2</v>
      </c>
    </row>
    <row r="256" spans="1:5" x14ac:dyDescent="0.3">
      <c r="A256" s="78">
        <v>46097</v>
      </c>
      <c r="B256">
        <v>5618.5</v>
      </c>
      <c r="C256">
        <v>23114.5</v>
      </c>
      <c r="D256" s="46">
        <v>-3.271068262029786E-2</v>
      </c>
      <c r="E256" s="46">
        <v>-1.580901555111369E-3</v>
      </c>
    </row>
    <row r="257" spans="1:5" x14ac:dyDescent="0.3">
      <c r="A257" s="78">
        <v>46104</v>
      </c>
      <c r="B257">
        <v>5500</v>
      </c>
      <c r="C257">
        <v>22819.599609375</v>
      </c>
      <c r="D257" s="46">
        <v>-2.1091038533416429E-2</v>
      </c>
      <c r="E257" s="46">
        <v>-1.275824225594324E-2</v>
      </c>
    </row>
    <row r="258" spans="1:5" x14ac:dyDescent="0.3">
      <c r="A258" s="78">
        <v>46111</v>
      </c>
      <c r="B258">
        <v>5442</v>
      </c>
      <c r="C258">
        <v>22713.099609375</v>
      </c>
      <c r="D258" s="46">
        <v>-1.0545454545454519E-2</v>
      </c>
      <c r="E258" s="46">
        <v>-4.6670406940990672E-3</v>
      </c>
    </row>
    <row r="259" spans="1:5" x14ac:dyDescent="0.3">
      <c r="A259" s="78">
        <v>46118</v>
      </c>
      <c r="B259">
        <v>5557.5</v>
      </c>
      <c r="C259">
        <v>24050.599609375</v>
      </c>
      <c r="D259" s="46">
        <v>2.1223814773980051E-2</v>
      </c>
      <c r="E259" s="46">
        <v>5.888672277243634E-2</v>
      </c>
    </row>
    <row r="260" spans="1:5" x14ac:dyDescent="0.3">
      <c r="A260" s="78">
        <v>46125</v>
      </c>
      <c r="B260">
        <v>5735.5</v>
      </c>
      <c r="C260">
        <v>24353.55078125</v>
      </c>
      <c r="D260" s="46">
        <v>3.2028789923526757E-2</v>
      </c>
      <c r="E260" s="46">
        <v>1.2596408272370411E-2</v>
      </c>
    </row>
    <row r="261" spans="1:5" x14ac:dyDescent="0.3">
      <c r="A261" s="78">
        <v>46132</v>
      </c>
      <c r="B261">
        <v>5730.5</v>
      </c>
      <c r="C261">
        <v>23897.94921875</v>
      </c>
      <c r="D261" s="46">
        <v>-8.7176357771767687E-4</v>
      </c>
      <c r="E261" s="46">
        <v>-1.8707808425651451E-2</v>
      </c>
    </row>
    <row r="262" spans="1:5" x14ac:dyDescent="0.3">
      <c r="A262" s="78">
        <v>46139</v>
      </c>
      <c r="B262">
        <v>5726</v>
      </c>
      <c r="C262">
        <v>23997.55078125</v>
      </c>
      <c r="D262" s="46">
        <v>-7.8527179129217473E-4</v>
      </c>
      <c r="E262" s="46">
        <v>4.1677870175509391E-3</v>
      </c>
    </row>
    <row r="263" spans="1:5" x14ac:dyDescent="0.3">
      <c r="A263" s="78">
        <v>46146</v>
      </c>
      <c r="B263">
        <v>5520</v>
      </c>
      <c r="C263">
        <v>24176.150390625</v>
      </c>
      <c r="D263" s="46">
        <v>-3.597624869018512E-2</v>
      </c>
      <c r="E263" s="46">
        <v>7.442409894369062E-3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Historical</vt:lpstr>
      <vt:lpstr>Model</vt:lpstr>
      <vt:lpstr>Scenario Analysis</vt:lpstr>
      <vt:lpstr>Comp Data</vt:lpstr>
      <vt:lpstr>Comps</vt:lpstr>
      <vt:lpstr>WACC</vt:lpstr>
      <vt:lpstr>Beta</vt:lpstr>
      <vt:lpstr>Market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anuj patel</cp:lastModifiedBy>
  <cp:revision>0</cp:revision>
  <dcterms:created xsi:type="dcterms:W3CDTF">2026-05-06T12:20:10Z</dcterms:created>
  <dcterms:modified xsi:type="dcterms:W3CDTF">2026-05-12T09:23:40Z</dcterms:modified>
  <dc:language>en-US</dc:language>
</cp:coreProperties>
</file>